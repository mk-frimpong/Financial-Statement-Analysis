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4F7B8D-FACD-4B46-874A-C90C09A20753}" xr6:coauthVersionLast="47" xr6:coauthVersionMax="47" xr10:uidLastSave="{00000000-0000-0000-0000-000000000000}"/>
  <bookViews>
    <workbookView xWindow="-120" yWindow="-120" windowWidth="24240" windowHeight="13740" activeTab="2" xr2:uid="{00000000-000D-0000-FFFF-FFFF00000000}"/>
  </bookViews>
  <sheets>
    <sheet name="Read Me" sheetId="1" r:id="rId1"/>
    <sheet name="QA Checks" sheetId="2" r:id="rId2"/>
    <sheet name="Dashboard" sheetId="3" r:id="rId3"/>
    <sheet name="w" sheetId="4" r:id="rId4"/>
    <sheet name="Data" sheetId="5" r:id="rId5"/>
  </sheets>
  <definedNames>
    <definedName name="_xlnm._FilterDatabase" localSheetId="4" hidden="1">Data!$A$1:$I$1141</definedName>
    <definedName name="_xlchart.v1.0" hidden="1">Dashboard!$E$22:$E$32</definedName>
    <definedName name="_xlchart.v1.1" hidden="1">Dashboard!$H$22:$H$32</definedName>
    <definedName name="Acc">Data!$K$1:$L$25</definedName>
    <definedName name="End_Date">Dashboard!$B$5</definedName>
    <definedName name="Start_Date">Dashboard!$B$4</definedName>
    <definedName name="Year_Slected">Dashboard!$N$2</definedName>
    <definedName name="Years">w!$G$6:$G$8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9" i="3" l="1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H136" i="3"/>
  <c r="H18" i="3"/>
  <c r="B5" i="3"/>
  <c r="H130" i="3" s="1"/>
  <c r="B4" i="3"/>
  <c r="G87" i="3" s="1"/>
  <c r="G88" i="3" s="1"/>
  <c r="B31" i="2"/>
  <c r="B30" i="2"/>
  <c r="B29" i="2"/>
  <c r="A14" i="2"/>
  <c r="A15" i="2" s="1"/>
  <c r="B15" i="2" s="1"/>
  <c r="C15" i="2" s="1"/>
  <c r="B9" i="2"/>
  <c r="B4" i="2"/>
  <c r="H11" i="3" l="1"/>
  <c r="G67" i="3"/>
  <c r="H111" i="3"/>
  <c r="B14" i="2"/>
  <c r="C14" i="2" s="1"/>
  <c r="G97" i="3"/>
  <c r="H32" i="3"/>
  <c r="H119" i="3"/>
  <c r="H127" i="3"/>
  <c r="F42" i="3"/>
  <c r="G68" i="3"/>
  <c r="G96" i="3"/>
  <c r="G113" i="3"/>
  <c r="G121" i="3"/>
  <c r="G129" i="3"/>
  <c r="H24" i="3"/>
  <c r="F48" i="3"/>
  <c r="G76" i="3"/>
  <c r="C106" i="3"/>
  <c r="H115" i="3"/>
  <c r="H123" i="3"/>
  <c r="H131" i="3"/>
  <c r="C8" i="3"/>
  <c r="H25" i="3"/>
  <c r="L51" i="3"/>
  <c r="G77" i="3"/>
  <c r="G109" i="3"/>
  <c r="G117" i="3"/>
  <c r="G125" i="3"/>
  <c r="A16" i="2"/>
  <c r="A17" i="2" s="1"/>
  <c r="B17" i="2" s="1"/>
  <c r="C17" i="2" s="1"/>
  <c r="H14" i="3"/>
  <c r="H28" i="3"/>
  <c r="L42" i="3"/>
  <c r="L52" i="3"/>
  <c r="G72" i="3"/>
  <c r="G80" i="3"/>
  <c r="H109" i="3"/>
  <c r="H113" i="3"/>
  <c r="H117" i="3"/>
  <c r="H121" i="3"/>
  <c r="H125" i="3"/>
  <c r="H129" i="3"/>
  <c r="H29" i="3"/>
  <c r="F44" i="3"/>
  <c r="C60" i="3"/>
  <c r="G73" i="3"/>
  <c r="G81" i="3"/>
  <c r="G100" i="3"/>
  <c r="G111" i="3"/>
  <c r="G115" i="3"/>
  <c r="G119" i="3"/>
  <c r="G123" i="3"/>
  <c r="G127" i="3"/>
  <c r="G131" i="3"/>
  <c r="H12" i="3"/>
  <c r="H17" i="3"/>
  <c r="H19" i="3" s="1"/>
  <c r="H22" i="3"/>
  <c r="H26" i="3"/>
  <c r="H30" i="3"/>
  <c r="F43" i="3"/>
  <c r="F49" i="3"/>
  <c r="H63" i="3"/>
  <c r="G74" i="3"/>
  <c r="G78" i="3"/>
  <c r="G90" i="3"/>
  <c r="G91" i="3" s="1"/>
  <c r="H92" i="3" s="1"/>
  <c r="G108" i="3"/>
  <c r="G110" i="3"/>
  <c r="G112" i="3"/>
  <c r="G114" i="3"/>
  <c r="G116" i="3"/>
  <c r="G118" i="3"/>
  <c r="G120" i="3"/>
  <c r="G122" i="3"/>
  <c r="G124" i="3"/>
  <c r="G126" i="3"/>
  <c r="G128" i="3"/>
  <c r="G130" i="3"/>
  <c r="H13" i="3"/>
  <c r="H23" i="3"/>
  <c r="H27" i="3"/>
  <c r="H31" i="3"/>
  <c r="C39" i="3"/>
  <c r="L43" i="3"/>
  <c r="L47" i="3"/>
  <c r="L48" i="3" s="1"/>
  <c r="G66" i="3"/>
  <c r="G69" i="3" s="1"/>
  <c r="G71" i="3"/>
  <c r="G75" i="3"/>
  <c r="G79" i="3"/>
  <c r="H108" i="3"/>
  <c r="H110" i="3"/>
  <c r="H112" i="3"/>
  <c r="H114" i="3"/>
  <c r="H116" i="3"/>
  <c r="H118" i="3"/>
  <c r="H120" i="3"/>
  <c r="H122" i="3"/>
  <c r="H124" i="3"/>
  <c r="H126" i="3"/>
  <c r="H128" i="3"/>
  <c r="B16" i="2" l="1"/>
  <c r="C16" i="2" s="1"/>
  <c r="A18" i="2"/>
  <c r="B18" i="2" s="1"/>
  <c r="C18" i="2" s="1"/>
  <c r="L53" i="3"/>
  <c r="G98" i="3"/>
  <c r="H101" i="3" s="1"/>
  <c r="F50" i="3"/>
  <c r="F45" i="3"/>
  <c r="L44" i="3"/>
  <c r="L55" i="3" s="1"/>
  <c r="H15" i="3"/>
  <c r="I20" i="3" s="1"/>
  <c r="H135" i="3"/>
  <c r="G82" i="3"/>
  <c r="H83" i="3" s="1"/>
  <c r="H102" i="3" s="1"/>
  <c r="G135" i="3"/>
  <c r="H33" i="3"/>
  <c r="A19" i="2" l="1"/>
  <c r="A20" i="2" s="1"/>
  <c r="F55" i="3"/>
  <c r="B6" i="2" s="1"/>
  <c r="I34" i="3"/>
  <c r="B8" i="2"/>
  <c r="H103" i="3"/>
  <c r="B7" i="2" s="1"/>
  <c r="B19" i="2"/>
  <c r="C19" i="2" s="1"/>
  <c r="B5" i="2"/>
  <c r="G136" i="3"/>
  <c r="A21" i="2" l="1"/>
  <c r="B20" i="2"/>
  <c r="C20" i="2" s="1"/>
  <c r="B21" i="2" l="1"/>
  <c r="C21" i="2" s="1"/>
  <c r="A22" i="2"/>
  <c r="B22" i="2" l="1"/>
  <c r="C22" i="2" s="1"/>
  <c r="A23" i="2"/>
  <c r="A24" i="2" l="1"/>
  <c r="B23" i="2"/>
  <c r="C23" i="2" s="1"/>
  <c r="A25" i="2" l="1"/>
  <c r="B25" i="2" s="1"/>
  <c r="C25" i="2" s="1"/>
  <c r="B24" i="2"/>
  <c r="C24" i="2" s="1"/>
  <c r="B2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52" authorId="0" shapeId="0" xr:uid="{00000000-0006-0000-0200-000002000000}">
      <text>
        <r>
          <rPr>
            <sz val="10"/>
            <rFont val="Arial"/>
            <family val="2"/>
          </rPr>
          <t>Calculated retained earnings = cumulative income less cumulative expenses through the selected year-end. Synthetic data assumes no owner distributions.</t>
        </r>
      </text>
    </comment>
    <comment ref="H102" authorId="0" shapeId="0" xr:uid="{00000000-0006-0000-0200-000001000000}">
      <text>
        <r>
          <rPr>
            <sz val="10"/>
            <rFont val="Arial"/>
            <family val="2"/>
          </rPr>
          <t>Net period cash flow is the sum of operating, investing, and financing net cash flows. Opening cash is shown separately in H63.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1" authorId="0" shapeId="0" xr:uid="{00000000-0006-0000-0400-000001000000}">
      <text>
        <r>
          <rPr>
            <sz val="10"/>
            <rFont val="Arial"/>
            <family val="2"/>
          </rPr>
          <t>For each Entry ID, this formula calculates total debits less total credits. Every entry should equal zero.</t>
        </r>
      </text>
    </comment>
  </commentList>
</comments>
</file>

<file path=xl/sharedStrings.xml><?xml version="1.0" encoding="utf-8"?>
<sst xmlns="http://schemas.openxmlformats.org/spreadsheetml/2006/main" count="5426" uniqueCount="768">
  <si>
    <t>FINANCIAL STATEMENT DASHBOARD | PORTFOLIO PROJECT</t>
  </si>
  <si>
    <t>Purpose</t>
  </si>
  <si>
    <t>Demonstrate an Excel-based, formula-driven income statement, balance sheet, cash flow statement, trial balance, and automated reconciliation checks.</t>
  </si>
  <si>
    <t>Data status</t>
  </si>
  <si>
    <t>All transactions are simulated for portfolio demonstration; they are not actual company records.</t>
  </si>
  <si>
    <t>Coverage</t>
  </si>
  <si>
    <t>Monthly transaction activity from 1 January 2023 through 31 December 2025. Use the Dashboard year selector to view 2023, 2024, or 2025.</t>
  </si>
  <si>
    <t>Accounting basis</t>
  </si>
  <si>
    <t>Accrual-based income statement and balance sheet; direct-method cash flow statement. Journal entries use equal debits and credits.</t>
  </si>
  <si>
    <t>Revenue assumptions</t>
  </si>
  <si>
    <t>Sales, consulting, and service revenue are generated as simulated business activity. Receivables are recognized for credit sales/services and reduced when customers pay.</t>
  </si>
  <si>
    <t>Inventory / COGS assumption</t>
  </si>
  <si>
    <t>Inventory purchases are recorded as assets; cost of goods sold is recognized separately each month using a simulated percentage of merchandise sales. This is illustrative, not SKU-level inventory accounting.</t>
  </si>
  <si>
    <t>Cash flow policy</t>
  </si>
  <si>
    <t>Customer receipts and operating payments are operating activities; equipment purchases and dividend receipts are investing activities; owner contributions and bank-loan proceeds are financing activities. Interest paid is classified as operating.</t>
  </si>
  <si>
    <t>Retained earnings</t>
  </si>
  <si>
    <t>Retained earnings are calculated as cumulative income less cumulative expenses through the selected balance-sheet date; no dividends/distributions to owners are modeled.</t>
  </si>
  <si>
    <t>Limitations</t>
  </si>
  <si>
    <t>This is a synthetic portfolio case study, not audited financial information or tax/accounting advice. Real reporting would require source documents, inventory records, tax treatment, loan terms, and a documented accounting policy.</t>
  </si>
  <si>
    <t>Currency assumption</t>
  </si>
  <si>
    <t>USD is assumed for presentation, consistent with the source workbook’s dollar-formatted dashboard. All amounts are synthetic and illustrative.</t>
  </si>
  <si>
    <t>Workbook navigation</t>
  </si>
  <si>
    <t>Dashboard</t>
  </si>
  <si>
    <t>Year-selectable financial statements, cash flow, trial balance, and charts.</t>
  </si>
  <si>
    <t>Data</t>
  </si>
  <si>
    <t>Double-entry transaction ledger. Each Entry ID links two lines; Entry Difference should be zero.</t>
  </si>
  <si>
    <t>QA Checks</t>
  </si>
  <si>
    <t>Automated checks for journal balance, trial balance, balance sheet, cash flow tie-out, and monthly data coverage.</t>
  </si>
  <si>
    <t>AUTOMATED DATA &amp; STATEMENT CHECKS</t>
  </si>
  <si>
    <t>Check</t>
  </si>
  <si>
    <t>Result</t>
  </si>
  <si>
    <t>Expected</t>
  </si>
  <si>
    <t>Journal entries balance</t>
  </si>
  <si>
    <t>PASS</t>
  </si>
  <si>
    <t>Each Entry ID has equal total debits and credits.</t>
  </si>
  <si>
    <t>Trial balance balances</t>
  </si>
  <si>
    <t>Total debits equal total credits as of the selected year-end.</t>
  </si>
  <si>
    <t>Balance sheet balances</t>
  </si>
  <si>
    <t>Total assets equal total liabilities and equity.</t>
  </si>
  <si>
    <t>Cash flow reconciles</t>
  </si>
  <si>
    <t>Opening cash plus net cash flow equals closing cash and balance-sheet cash.</t>
  </si>
  <si>
    <t>Cash flow total formula</t>
  </si>
  <si>
    <t>Net period cash flow equals operating + investing + financing cash flows.</t>
  </si>
  <si>
    <t>Cash type only on cash rows</t>
  </si>
  <si>
    <t>Cash flow categories are attached only to the Cash account line.</t>
  </si>
  <si>
    <t>Selected-year monthly coverage</t>
  </si>
  <si>
    <t>Month</t>
  </si>
  <si>
    <t>Transaction lines</t>
  </si>
  <si>
    <t>Status</t>
  </si>
  <si>
    <t>Full selected-year coverage</t>
  </si>
  <si>
    <t>All 12 months must contain transaction lines for the selected year.</t>
  </si>
  <si>
    <t>Selected year</t>
  </si>
  <si>
    <t>Transaction line count</t>
  </si>
  <si>
    <t>Journal entry count</t>
  </si>
  <si>
    <t>FINANCIAL STATEMENT ANALYSIS</t>
  </si>
  <si>
    <t>Select year</t>
  </si>
  <si>
    <t>Start  Date</t>
  </si>
  <si>
    <t>End Date</t>
  </si>
  <si>
    <t>PROFIT &amp; LOSS</t>
  </si>
  <si>
    <t>P &amp; L</t>
  </si>
  <si>
    <t>Income</t>
  </si>
  <si>
    <t>Consulting Revenue</t>
  </si>
  <si>
    <t>Dividend Income</t>
  </si>
  <si>
    <t>Sales Revenue</t>
  </si>
  <si>
    <t>Service Revenue</t>
  </si>
  <si>
    <t>Total Income</t>
  </si>
  <si>
    <t>COGS</t>
  </si>
  <si>
    <t>Cost of Goods Sold</t>
  </si>
  <si>
    <t>Total COGS</t>
  </si>
  <si>
    <t>Gross Profit</t>
  </si>
  <si>
    <t>Expenses</t>
  </si>
  <si>
    <t>Advertising Expense</t>
  </si>
  <si>
    <t>Salaries Expense</t>
  </si>
  <si>
    <t>Depreciation Expense</t>
  </si>
  <si>
    <t>Insurance Expense</t>
  </si>
  <si>
    <t>Interest Expense</t>
  </si>
  <si>
    <t>Office Supplies Expense</t>
  </si>
  <si>
    <t>Rent Expense</t>
  </si>
  <si>
    <t>Repairs Expense</t>
  </si>
  <si>
    <t>Tax Expense</t>
  </si>
  <si>
    <t>Travel Expense</t>
  </si>
  <si>
    <t>Utilities Expense</t>
  </si>
  <si>
    <t>Total Expenses</t>
  </si>
  <si>
    <t>Net Profit</t>
  </si>
  <si>
    <t>BALANCE SHEET</t>
  </si>
  <si>
    <t>Balance Sheet</t>
  </si>
  <si>
    <t>Current Asset</t>
  </si>
  <si>
    <t>Current Liability</t>
  </si>
  <si>
    <t>Cash</t>
  </si>
  <si>
    <t>Accounts Payable</t>
  </si>
  <si>
    <t>Accounts Receivable</t>
  </si>
  <si>
    <t>Unearned Revenue</t>
  </si>
  <si>
    <t>Inventory</t>
  </si>
  <si>
    <t>Total Current Liabilities</t>
  </si>
  <si>
    <t>Total Current Assets</t>
  </si>
  <si>
    <t>Long Term Liability</t>
  </si>
  <si>
    <t>Fixed Assets</t>
  </si>
  <si>
    <t>Bank Loan</t>
  </si>
  <si>
    <t>Equipment</t>
  </si>
  <si>
    <t>Total Long Term Liabilities</t>
  </si>
  <si>
    <t>Accumulated Depreciation</t>
  </si>
  <si>
    <t>Net Fixed Assets</t>
  </si>
  <si>
    <t>Equiity</t>
  </si>
  <si>
    <t>Common Stock</t>
  </si>
  <si>
    <t>Retained Earnings</t>
  </si>
  <si>
    <t>Total Equity</t>
  </si>
  <si>
    <t>Total Assets</t>
  </si>
  <si>
    <t>Total Liabilities &amp; Equity</t>
  </si>
  <si>
    <t>CASH FLOW STATEMENT</t>
  </si>
  <si>
    <t>CASH FLOWS</t>
  </si>
  <si>
    <t>Opening Cash Balance</t>
  </si>
  <si>
    <t>Cash Flow From Operating Activities</t>
  </si>
  <si>
    <t>Cash receipts from</t>
  </si>
  <si>
    <t>Provided consulting services</t>
  </si>
  <si>
    <t>Received payment on account</t>
  </si>
  <si>
    <t>Sold goods for cash</t>
  </si>
  <si>
    <t>Total Operating Cash Inflows</t>
  </si>
  <si>
    <t>Cash paid for</t>
  </si>
  <si>
    <t>Paid Rent</t>
  </si>
  <si>
    <t>Paid salaries</t>
  </si>
  <si>
    <t>Paid utilities</t>
  </si>
  <si>
    <t>Paid advertising</t>
  </si>
  <si>
    <t>Paid supplier</t>
  </si>
  <si>
    <t>Paid travel expenses</t>
  </si>
  <si>
    <t>Paid insurance</t>
  </si>
  <si>
    <t>Paid office supplies</t>
  </si>
  <si>
    <t>Paid taxes</t>
  </si>
  <si>
    <t>Paid repairs</t>
  </si>
  <si>
    <t>Paid interest on loan</t>
  </si>
  <si>
    <t>Total Operating Cash Outflows</t>
  </si>
  <si>
    <t>Net Cash Flow from Operations</t>
  </si>
  <si>
    <t>Cash Flow From Investing Activities</t>
  </si>
  <si>
    <t>Cash receipts from Investing</t>
  </si>
  <si>
    <t>Received dividend income</t>
  </si>
  <si>
    <t>Total cash receipts from Investing</t>
  </si>
  <si>
    <t>Cash paid for investing</t>
  </si>
  <si>
    <t>Purchased equipment</t>
  </si>
  <si>
    <t>Total cash paid for investing</t>
  </si>
  <si>
    <t>Net Cash Flow from Investing</t>
  </si>
  <si>
    <t>Financing Activities</t>
  </si>
  <si>
    <t>Cash receipts from financing</t>
  </si>
  <si>
    <t>Received loan from bank</t>
  </si>
  <si>
    <t>Total receipts from Financing</t>
  </si>
  <si>
    <t>Owner capital contribution</t>
  </si>
  <si>
    <t>Total financing inflows</t>
  </si>
  <si>
    <t>Cash paid for financing</t>
  </si>
  <si>
    <t>Initial cash investment</t>
  </si>
  <si>
    <t>Net Cash Flow (Financing Activities)</t>
  </si>
  <si>
    <t>Loan repayments</t>
  </si>
  <si>
    <t>Net Cash Flow from Financing</t>
  </si>
  <si>
    <t>Net Period Cash Flow</t>
  </si>
  <si>
    <t>Closing Cash Balance</t>
  </si>
  <si>
    <t>TRIAL BALANCE</t>
  </si>
  <si>
    <t>Account Name</t>
  </si>
  <si>
    <t>Account Type</t>
  </si>
  <si>
    <t>Debits</t>
  </si>
  <si>
    <t>Credits</t>
  </si>
  <si>
    <t>Asset</t>
  </si>
  <si>
    <t>Liability</t>
  </si>
  <si>
    <t>Equity</t>
  </si>
  <si>
    <t>Expense</t>
  </si>
  <si>
    <t>GRAND TOTAL</t>
  </si>
  <si>
    <t>Accounts &amp; Types</t>
  </si>
  <si>
    <t>Name</t>
  </si>
  <si>
    <t>Type</t>
  </si>
  <si>
    <t>Years</t>
  </si>
  <si>
    <t>Accumulated Depr.</t>
  </si>
  <si>
    <t>Prepaid Rent</t>
  </si>
  <si>
    <t>Office Supplies</t>
  </si>
  <si>
    <t>Bad Debt Expense</t>
  </si>
  <si>
    <t>Materials Purchased</t>
  </si>
  <si>
    <t>Date</t>
  </si>
  <si>
    <t>Description</t>
  </si>
  <si>
    <t>Acct. Type</t>
  </si>
  <si>
    <t>Cash Type</t>
  </si>
  <si>
    <t>Entry ID</t>
  </si>
  <si>
    <t>Entry Difference</t>
  </si>
  <si>
    <t>Trial balance</t>
  </si>
  <si>
    <t>Financing Income</t>
  </si>
  <si>
    <t>JE0001</t>
  </si>
  <si>
    <t>Previous Net Earnings</t>
  </si>
  <si>
    <t>Sold goods on account</t>
  </si>
  <si>
    <t>JE0002</t>
  </si>
  <si>
    <t>Total Current Liability</t>
  </si>
  <si>
    <t>Purchased inventory</t>
  </si>
  <si>
    <t>JE0003</t>
  </si>
  <si>
    <t>Total Current Asset</t>
  </si>
  <si>
    <t>JE0004</t>
  </si>
  <si>
    <t>Operating Expense</t>
  </si>
  <si>
    <t>Total Long Term Liability</t>
  </si>
  <si>
    <t>Operating Income</t>
  </si>
  <si>
    <t>JE0005</t>
  </si>
  <si>
    <t>Total Fixed Assetes</t>
  </si>
  <si>
    <t>JE0006</t>
  </si>
  <si>
    <t>Provided services on account</t>
  </si>
  <si>
    <t>JE0007</t>
  </si>
  <si>
    <t>Purchased Materials</t>
  </si>
  <si>
    <t>JE0008</t>
  </si>
  <si>
    <t>JE0009</t>
  </si>
  <si>
    <t>JE0010</t>
  </si>
  <si>
    <t>JE0011</t>
  </si>
  <si>
    <t>JE0012</t>
  </si>
  <si>
    <t>JE0013</t>
  </si>
  <si>
    <t>JE0014</t>
  </si>
  <si>
    <t>Recognized cost of goods sold</t>
  </si>
  <si>
    <t>JE0015</t>
  </si>
  <si>
    <t>Net cash Flow From Investing</t>
  </si>
  <si>
    <t>Recorded depreciation</t>
  </si>
  <si>
    <t>JE0016</t>
  </si>
  <si>
    <t>JE0017</t>
  </si>
  <si>
    <t>JE0018</t>
  </si>
  <si>
    <t>Total casceipts from Financing</t>
  </si>
  <si>
    <t>JE0019</t>
  </si>
  <si>
    <t>JE0020</t>
  </si>
  <si>
    <t>Net cash flow from financing</t>
  </si>
  <si>
    <t>Net period cash flow</t>
  </si>
  <si>
    <t>JE0021</t>
  </si>
  <si>
    <t>JE0022</t>
  </si>
  <si>
    <t>JE0023</t>
  </si>
  <si>
    <t>JE0024</t>
  </si>
  <si>
    <t>JE0025</t>
  </si>
  <si>
    <t>JE0026</t>
  </si>
  <si>
    <t>JE0027</t>
  </si>
  <si>
    <t>JE0028</t>
  </si>
  <si>
    <t>JE0029</t>
  </si>
  <si>
    <t>JE0030</t>
  </si>
  <si>
    <t>JE0031</t>
  </si>
  <si>
    <t>JE0032</t>
  </si>
  <si>
    <t>JE0033</t>
  </si>
  <si>
    <t>JE0034</t>
  </si>
  <si>
    <t>JE0035</t>
  </si>
  <si>
    <t>JE0036</t>
  </si>
  <si>
    <t>JE0037</t>
  </si>
  <si>
    <t>JE0038</t>
  </si>
  <si>
    <t>JE0039</t>
  </si>
  <si>
    <t>JE0040</t>
  </si>
  <si>
    <t>JE0041</t>
  </si>
  <si>
    <t>JE0042</t>
  </si>
  <si>
    <t>JE0043</t>
  </si>
  <si>
    <t>JE0044</t>
  </si>
  <si>
    <t>JE0045</t>
  </si>
  <si>
    <t>JE0046</t>
  </si>
  <si>
    <t>Investing Expense</t>
  </si>
  <si>
    <t>Investing Income</t>
  </si>
  <si>
    <t>JE0047</t>
  </si>
  <si>
    <t>JE0048</t>
  </si>
  <si>
    <t>JE0049</t>
  </si>
  <si>
    <t>JE0050</t>
  </si>
  <si>
    <t>JE0051</t>
  </si>
  <si>
    <t>JE0052</t>
  </si>
  <si>
    <t>JE0053</t>
  </si>
  <si>
    <t>JE0054</t>
  </si>
  <si>
    <t>JE0055</t>
  </si>
  <si>
    <t>JE0056</t>
  </si>
  <si>
    <t>JE0057</t>
  </si>
  <si>
    <t>JE0058</t>
  </si>
  <si>
    <t>JE0059</t>
  </si>
  <si>
    <t>JE0060</t>
  </si>
  <si>
    <t>JE0061</t>
  </si>
  <si>
    <t>JE0062</t>
  </si>
  <si>
    <t>JE0063</t>
  </si>
  <si>
    <t>JE0064</t>
  </si>
  <si>
    <t>JE0065</t>
  </si>
  <si>
    <t>JE0066</t>
  </si>
  <si>
    <t>JE0067</t>
  </si>
  <si>
    <t>JE0068</t>
  </si>
  <si>
    <t>JE0069</t>
  </si>
  <si>
    <t>JE0070</t>
  </si>
  <si>
    <t>JE0071</t>
  </si>
  <si>
    <t>JE0072</t>
  </si>
  <si>
    <t>JE0073</t>
  </si>
  <si>
    <t>JE0074</t>
  </si>
  <si>
    <t>JE0075</t>
  </si>
  <si>
    <t>JE0076</t>
  </si>
  <si>
    <t>JE0077</t>
  </si>
  <si>
    <t>JE0078</t>
  </si>
  <si>
    <t>JE0079</t>
  </si>
  <si>
    <t>JE0080</t>
  </si>
  <si>
    <t>JE0081</t>
  </si>
  <si>
    <t>JE0082</t>
  </si>
  <si>
    <t>JE0083</t>
  </si>
  <si>
    <t>JE0084</t>
  </si>
  <si>
    <t>JE0085</t>
  </si>
  <si>
    <t>JE0086</t>
  </si>
  <si>
    <t>JE0087</t>
  </si>
  <si>
    <t>JE0088</t>
  </si>
  <si>
    <t>JE0089</t>
  </si>
  <si>
    <t>JE0090</t>
  </si>
  <si>
    <t>JE0091</t>
  </si>
  <si>
    <t>JE0092</t>
  </si>
  <si>
    <t>JE0093</t>
  </si>
  <si>
    <t>JE0094</t>
  </si>
  <si>
    <t>JE0095</t>
  </si>
  <si>
    <t>JE0096</t>
  </si>
  <si>
    <t>JE0097</t>
  </si>
  <si>
    <t>JE0098</t>
  </si>
  <si>
    <t>JE0099</t>
  </si>
  <si>
    <t>JE0100</t>
  </si>
  <si>
    <t>JE0101</t>
  </si>
  <si>
    <t>JE0102</t>
  </si>
  <si>
    <t>JE0103</t>
  </si>
  <si>
    <t>JE0104</t>
  </si>
  <si>
    <t>JE0105</t>
  </si>
  <si>
    <t>JE0106</t>
  </si>
  <si>
    <t>JE0107</t>
  </si>
  <si>
    <t>JE0108</t>
  </si>
  <si>
    <t>JE0109</t>
  </si>
  <si>
    <t>JE0110</t>
  </si>
  <si>
    <t>JE0111</t>
  </si>
  <si>
    <t>JE0112</t>
  </si>
  <si>
    <t>JE0113</t>
  </si>
  <si>
    <t>JE0114</t>
  </si>
  <si>
    <t>JE0115</t>
  </si>
  <si>
    <t>JE0116</t>
  </si>
  <si>
    <t>JE0117</t>
  </si>
  <si>
    <t>JE0118</t>
  </si>
  <si>
    <t>JE0119</t>
  </si>
  <si>
    <t>JE0120</t>
  </si>
  <si>
    <t>JE0121</t>
  </si>
  <si>
    <t>JE0122</t>
  </si>
  <si>
    <t>JE0123</t>
  </si>
  <si>
    <t>JE0124</t>
  </si>
  <si>
    <t>JE0125</t>
  </si>
  <si>
    <t>JE0126</t>
  </si>
  <si>
    <t>JE0127</t>
  </si>
  <si>
    <t>JE0128</t>
  </si>
  <si>
    <t>JE0129</t>
  </si>
  <si>
    <t>JE0130</t>
  </si>
  <si>
    <t>JE0131</t>
  </si>
  <si>
    <t>JE0132</t>
  </si>
  <si>
    <t>JE0133</t>
  </si>
  <si>
    <t>JE0134</t>
  </si>
  <si>
    <t>JE0135</t>
  </si>
  <si>
    <t>JE0136</t>
  </si>
  <si>
    <t>JE0137</t>
  </si>
  <si>
    <t>JE0138</t>
  </si>
  <si>
    <t>JE0139</t>
  </si>
  <si>
    <t>JE0140</t>
  </si>
  <si>
    <t>JE0141</t>
  </si>
  <si>
    <t>JE0142</t>
  </si>
  <si>
    <t>JE0143</t>
  </si>
  <si>
    <t>JE0144</t>
  </si>
  <si>
    <t>JE0145</t>
  </si>
  <si>
    <t>JE0146</t>
  </si>
  <si>
    <t>JE0147</t>
  </si>
  <si>
    <t>JE0148</t>
  </si>
  <si>
    <t>JE0149</t>
  </si>
  <si>
    <t>JE0150</t>
  </si>
  <si>
    <t>JE0151</t>
  </si>
  <si>
    <t>JE0152</t>
  </si>
  <si>
    <t>JE0153</t>
  </si>
  <si>
    <t>JE0154</t>
  </si>
  <si>
    <t>JE0155</t>
  </si>
  <si>
    <t>JE0156</t>
  </si>
  <si>
    <t>JE0157</t>
  </si>
  <si>
    <t>JE0158</t>
  </si>
  <si>
    <t>JE0159</t>
  </si>
  <si>
    <t>JE0160</t>
  </si>
  <si>
    <t>JE0161</t>
  </si>
  <si>
    <t>JE0162</t>
  </si>
  <si>
    <t>JE0163</t>
  </si>
  <si>
    <t>JE0164</t>
  </si>
  <si>
    <t>JE0165</t>
  </si>
  <si>
    <t>JE0166</t>
  </si>
  <si>
    <t>JE0167</t>
  </si>
  <si>
    <t>JE0168</t>
  </si>
  <si>
    <t>JE0169</t>
  </si>
  <si>
    <t>JE0170</t>
  </si>
  <si>
    <t>JE0171</t>
  </si>
  <si>
    <t>JE0172</t>
  </si>
  <si>
    <t>JE0173</t>
  </si>
  <si>
    <t>JE0174</t>
  </si>
  <si>
    <t>JE0175</t>
  </si>
  <si>
    <t>JE0176</t>
  </si>
  <si>
    <t>JE0177</t>
  </si>
  <si>
    <t>JE0178</t>
  </si>
  <si>
    <t>JE0179</t>
  </si>
  <si>
    <t>JE0180</t>
  </si>
  <si>
    <t>JE0181</t>
  </si>
  <si>
    <t>JE0182</t>
  </si>
  <si>
    <t>JE0183</t>
  </si>
  <si>
    <t>JE0184</t>
  </si>
  <si>
    <t>JE0185</t>
  </si>
  <si>
    <t>JE0186</t>
  </si>
  <si>
    <t>JE0187</t>
  </si>
  <si>
    <t>JE0188</t>
  </si>
  <si>
    <t>JE0189</t>
  </si>
  <si>
    <t>JE0190</t>
  </si>
  <si>
    <t>JE0191</t>
  </si>
  <si>
    <t>JE0192</t>
  </si>
  <si>
    <t>JE0193</t>
  </si>
  <si>
    <t>JE0194</t>
  </si>
  <si>
    <t>JE0195</t>
  </si>
  <si>
    <t>JE0196</t>
  </si>
  <si>
    <t>JE0197</t>
  </si>
  <si>
    <t>JE0198</t>
  </si>
  <si>
    <t>JE0199</t>
  </si>
  <si>
    <t>JE0200</t>
  </si>
  <si>
    <t>JE0201</t>
  </si>
  <si>
    <t>JE0202</t>
  </si>
  <si>
    <t>JE0203</t>
  </si>
  <si>
    <t>JE0204</t>
  </si>
  <si>
    <t>JE0205</t>
  </si>
  <si>
    <t>JE0206</t>
  </si>
  <si>
    <t>JE0207</t>
  </si>
  <si>
    <t>JE0208</t>
  </si>
  <si>
    <t>JE0209</t>
  </si>
  <si>
    <t>JE0210</t>
  </si>
  <si>
    <t>JE0211</t>
  </si>
  <si>
    <t>JE0212</t>
  </si>
  <si>
    <t>JE0213</t>
  </si>
  <si>
    <t>JE0214</t>
  </si>
  <si>
    <t>JE0215</t>
  </si>
  <si>
    <t>JE0216</t>
  </si>
  <si>
    <t>JE0217</t>
  </si>
  <si>
    <t>JE0218</t>
  </si>
  <si>
    <t>JE0219</t>
  </si>
  <si>
    <t>JE0220</t>
  </si>
  <si>
    <t>JE0221</t>
  </si>
  <si>
    <t>JE0222</t>
  </si>
  <si>
    <t>JE0223</t>
  </si>
  <si>
    <t>JE0224</t>
  </si>
  <si>
    <t>JE0225</t>
  </si>
  <si>
    <t>JE0226</t>
  </si>
  <si>
    <t>JE0227</t>
  </si>
  <si>
    <t>JE0228</t>
  </si>
  <si>
    <t>JE0229</t>
  </si>
  <si>
    <t>JE0230</t>
  </si>
  <si>
    <t>JE0231</t>
  </si>
  <si>
    <t>JE0232</t>
  </si>
  <si>
    <t>JE0233</t>
  </si>
  <si>
    <t>JE0234</t>
  </si>
  <si>
    <t>JE0235</t>
  </si>
  <si>
    <t>JE0236</t>
  </si>
  <si>
    <t>JE0237</t>
  </si>
  <si>
    <t>JE0238</t>
  </si>
  <si>
    <t>JE0239</t>
  </si>
  <si>
    <t>JE0240</t>
  </si>
  <si>
    <t>JE0241</t>
  </si>
  <si>
    <t>JE0242</t>
  </si>
  <si>
    <t>JE0243</t>
  </si>
  <si>
    <t>JE0244</t>
  </si>
  <si>
    <t>JE0245</t>
  </si>
  <si>
    <t>JE0246</t>
  </si>
  <si>
    <t>JE0247</t>
  </si>
  <si>
    <t>JE0248</t>
  </si>
  <si>
    <t>JE0249</t>
  </si>
  <si>
    <t>JE0250</t>
  </si>
  <si>
    <t>JE0251</t>
  </si>
  <si>
    <t>JE0252</t>
  </si>
  <si>
    <t>JE0253</t>
  </si>
  <si>
    <t>JE0254</t>
  </si>
  <si>
    <t>JE0255</t>
  </si>
  <si>
    <t>JE0256</t>
  </si>
  <si>
    <t>JE0257</t>
  </si>
  <si>
    <t>JE0258</t>
  </si>
  <si>
    <t>JE0259</t>
  </si>
  <si>
    <t>JE0260</t>
  </si>
  <si>
    <t>JE0261</t>
  </si>
  <si>
    <t>JE0262</t>
  </si>
  <si>
    <t>JE0263</t>
  </si>
  <si>
    <t>JE0264</t>
  </si>
  <si>
    <t>JE0265</t>
  </si>
  <si>
    <t>JE0266</t>
  </si>
  <si>
    <t>JE0267</t>
  </si>
  <si>
    <t>JE0268</t>
  </si>
  <si>
    <t>JE0269</t>
  </si>
  <si>
    <t>JE0270</t>
  </si>
  <si>
    <t>JE0271</t>
  </si>
  <si>
    <t>JE0272</t>
  </si>
  <si>
    <t>JE0273</t>
  </si>
  <si>
    <t>JE0274</t>
  </si>
  <si>
    <t>JE0275</t>
  </si>
  <si>
    <t>JE0276</t>
  </si>
  <si>
    <t>JE0277</t>
  </si>
  <si>
    <t>JE0278</t>
  </si>
  <si>
    <t>JE0279</t>
  </si>
  <si>
    <t>JE0280</t>
  </si>
  <si>
    <t>JE0281</t>
  </si>
  <si>
    <t>JE0282</t>
  </si>
  <si>
    <t>JE0283</t>
  </si>
  <si>
    <t>JE0284</t>
  </si>
  <si>
    <t>JE0285</t>
  </si>
  <si>
    <t>JE0286</t>
  </si>
  <si>
    <t>JE0287</t>
  </si>
  <si>
    <t>JE0288</t>
  </si>
  <si>
    <t>JE0289</t>
  </si>
  <si>
    <t>JE0290</t>
  </si>
  <si>
    <t>JE0291</t>
  </si>
  <si>
    <t>JE0292</t>
  </si>
  <si>
    <t>JE0293</t>
  </si>
  <si>
    <t>JE0294</t>
  </si>
  <si>
    <t>JE0295</t>
  </si>
  <si>
    <t>JE0296</t>
  </si>
  <si>
    <t>JE0297</t>
  </si>
  <si>
    <t>JE0298</t>
  </si>
  <si>
    <t>JE0299</t>
  </si>
  <si>
    <t>JE0300</t>
  </si>
  <si>
    <t>JE0301</t>
  </si>
  <si>
    <t>JE0302</t>
  </si>
  <si>
    <t>JE0303</t>
  </si>
  <si>
    <t>JE0304</t>
  </si>
  <si>
    <t>JE0305</t>
  </si>
  <si>
    <t>JE0306</t>
  </si>
  <si>
    <t>JE0307</t>
  </si>
  <si>
    <t>JE0308</t>
  </si>
  <si>
    <t>JE0309</t>
  </si>
  <si>
    <t>JE0310</t>
  </si>
  <si>
    <t>JE0311</t>
  </si>
  <si>
    <t>JE0312</t>
  </si>
  <si>
    <t>JE0313</t>
  </si>
  <si>
    <t>JE0314</t>
  </si>
  <si>
    <t>JE0315</t>
  </si>
  <si>
    <t>JE0316</t>
  </si>
  <si>
    <t>JE0317</t>
  </si>
  <si>
    <t>JE0318</t>
  </si>
  <si>
    <t>JE0319</t>
  </si>
  <si>
    <t>JE0320</t>
  </si>
  <si>
    <t>JE0321</t>
  </si>
  <si>
    <t>JE0322</t>
  </si>
  <si>
    <t>JE0323</t>
  </si>
  <si>
    <t>JE0324</t>
  </si>
  <si>
    <t>JE0325</t>
  </si>
  <si>
    <t>JE0326</t>
  </si>
  <si>
    <t>JE0327</t>
  </si>
  <si>
    <t>JE0328</t>
  </si>
  <si>
    <t>JE0329</t>
  </si>
  <si>
    <t>JE0330</t>
  </si>
  <si>
    <t>JE0331</t>
  </si>
  <si>
    <t>JE0332</t>
  </si>
  <si>
    <t>JE0333</t>
  </si>
  <si>
    <t>JE0334</t>
  </si>
  <si>
    <t>JE0335</t>
  </si>
  <si>
    <t>JE0336</t>
  </si>
  <si>
    <t>JE0337</t>
  </si>
  <si>
    <t>JE0338</t>
  </si>
  <si>
    <t>JE0339</t>
  </si>
  <si>
    <t>JE0340</t>
  </si>
  <si>
    <t>JE0341</t>
  </si>
  <si>
    <t>JE0342</t>
  </si>
  <si>
    <t>JE0343</t>
  </si>
  <si>
    <t>JE0344</t>
  </si>
  <si>
    <t>JE0345</t>
  </si>
  <si>
    <t>JE0346</t>
  </si>
  <si>
    <t>JE0347</t>
  </si>
  <si>
    <t>JE0348</t>
  </si>
  <si>
    <t>JE0349</t>
  </si>
  <si>
    <t>JE0350</t>
  </si>
  <si>
    <t>JE0351</t>
  </si>
  <si>
    <t>JE0352</t>
  </si>
  <si>
    <t>JE0353</t>
  </si>
  <si>
    <t>JE0354</t>
  </si>
  <si>
    <t>JE0355</t>
  </si>
  <si>
    <t>JE0356</t>
  </si>
  <si>
    <t>JE0357</t>
  </si>
  <si>
    <t>JE0358</t>
  </si>
  <si>
    <t>JE0359</t>
  </si>
  <si>
    <t>JE0360</t>
  </si>
  <si>
    <t>JE0361</t>
  </si>
  <si>
    <t>JE0362</t>
  </si>
  <si>
    <t>JE0363</t>
  </si>
  <si>
    <t>JE0364</t>
  </si>
  <si>
    <t>JE0365</t>
  </si>
  <si>
    <t>JE0366</t>
  </si>
  <si>
    <t>JE0367</t>
  </si>
  <si>
    <t>JE0368</t>
  </si>
  <si>
    <t>JE0369</t>
  </si>
  <si>
    <t>JE0370</t>
  </si>
  <si>
    <t>JE0371</t>
  </si>
  <si>
    <t>JE0372</t>
  </si>
  <si>
    <t>JE0373</t>
  </si>
  <si>
    <t>JE0374</t>
  </si>
  <si>
    <t>JE0375</t>
  </si>
  <si>
    <t>JE0376</t>
  </si>
  <si>
    <t>JE0377</t>
  </si>
  <si>
    <t>JE0378</t>
  </si>
  <si>
    <t>JE0379</t>
  </si>
  <si>
    <t>JE0380</t>
  </si>
  <si>
    <t>JE0381</t>
  </si>
  <si>
    <t>JE0382</t>
  </si>
  <si>
    <t>JE0383</t>
  </si>
  <si>
    <t>JE0384</t>
  </si>
  <si>
    <t>JE0385</t>
  </si>
  <si>
    <t>JE0386</t>
  </si>
  <si>
    <t>JE0387</t>
  </si>
  <si>
    <t>JE0388</t>
  </si>
  <si>
    <t>JE0389</t>
  </si>
  <si>
    <t>JE0390</t>
  </si>
  <si>
    <t>JE0391</t>
  </si>
  <si>
    <t>JE0392</t>
  </si>
  <si>
    <t>JE0393</t>
  </si>
  <si>
    <t>JE0394</t>
  </si>
  <si>
    <t>JE0395</t>
  </si>
  <si>
    <t>JE0396</t>
  </si>
  <si>
    <t>JE0397</t>
  </si>
  <si>
    <t>JE0398</t>
  </si>
  <si>
    <t>JE0399</t>
  </si>
  <si>
    <t>JE0400</t>
  </si>
  <si>
    <t>JE0401</t>
  </si>
  <si>
    <t>JE0402</t>
  </si>
  <si>
    <t>JE0403</t>
  </si>
  <si>
    <t>JE0404</t>
  </si>
  <si>
    <t>JE0405</t>
  </si>
  <si>
    <t>JE0406</t>
  </si>
  <si>
    <t>JE0407</t>
  </si>
  <si>
    <t>JE0408</t>
  </si>
  <si>
    <t>JE0409</t>
  </si>
  <si>
    <t>JE0410</t>
  </si>
  <si>
    <t>JE0411</t>
  </si>
  <si>
    <t>JE0412</t>
  </si>
  <si>
    <t>JE0413</t>
  </si>
  <si>
    <t>JE0414</t>
  </si>
  <si>
    <t>JE0415</t>
  </si>
  <si>
    <t>JE0416</t>
  </si>
  <si>
    <t>JE0417</t>
  </si>
  <si>
    <t>JE0418</t>
  </si>
  <si>
    <t>JE0419</t>
  </si>
  <si>
    <t>JE0420</t>
  </si>
  <si>
    <t>JE0421</t>
  </si>
  <si>
    <t>JE0422</t>
  </si>
  <si>
    <t>JE0423</t>
  </si>
  <si>
    <t>JE0424</t>
  </si>
  <si>
    <t>JE0425</t>
  </si>
  <si>
    <t>JE0426</t>
  </si>
  <si>
    <t>JE0427</t>
  </si>
  <si>
    <t>JE0428</t>
  </si>
  <si>
    <t>JE0429</t>
  </si>
  <si>
    <t>JE0430</t>
  </si>
  <si>
    <t>JE0431</t>
  </si>
  <si>
    <t>JE0432</t>
  </si>
  <si>
    <t>JE0433</t>
  </si>
  <si>
    <t>JE0434</t>
  </si>
  <si>
    <t>JE0435</t>
  </si>
  <si>
    <t>JE0436</t>
  </si>
  <si>
    <t>JE0437</t>
  </si>
  <si>
    <t>JE0438</t>
  </si>
  <si>
    <t>JE0439</t>
  </si>
  <si>
    <t>JE0440</t>
  </si>
  <si>
    <t>JE0441</t>
  </si>
  <si>
    <t>JE0442</t>
  </si>
  <si>
    <t>JE0443</t>
  </si>
  <si>
    <t>JE0444</t>
  </si>
  <si>
    <t>JE0445</t>
  </si>
  <si>
    <t>JE0446</t>
  </si>
  <si>
    <t>JE0447</t>
  </si>
  <si>
    <t>JE0448</t>
  </si>
  <si>
    <t>JE0449</t>
  </si>
  <si>
    <t>JE0450</t>
  </si>
  <si>
    <t>JE0451</t>
  </si>
  <si>
    <t>JE0452</t>
  </si>
  <si>
    <t>JE0453</t>
  </si>
  <si>
    <t>JE0454</t>
  </si>
  <si>
    <t>JE0455</t>
  </si>
  <si>
    <t>JE0456</t>
  </si>
  <si>
    <t>JE0457</t>
  </si>
  <si>
    <t>JE0458</t>
  </si>
  <si>
    <t>JE0459</t>
  </si>
  <si>
    <t>JE0460</t>
  </si>
  <si>
    <t>JE0461</t>
  </si>
  <si>
    <t>JE0462</t>
  </si>
  <si>
    <t>JE0463</t>
  </si>
  <si>
    <t>JE0464</t>
  </si>
  <si>
    <t>JE0465</t>
  </si>
  <si>
    <t>JE0466</t>
  </si>
  <si>
    <t>JE0467</t>
  </si>
  <si>
    <t>JE0468</t>
  </si>
  <si>
    <t>JE0469</t>
  </si>
  <si>
    <t>JE0470</t>
  </si>
  <si>
    <t>JE0471</t>
  </si>
  <si>
    <t>JE0472</t>
  </si>
  <si>
    <t>JE0473</t>
  </si>
  <si>
    <t>JE0474</t>
  </si>
  <si>
    <t>JE0475</t>
  </si>
  <si>
    <t>JE0476</t>
  </si>
  <si>
    <t>JE0477</t>
  </si>
  <si>
    <t>JE0478</t>
  </si>
  <si>
    <t>JE0479</t>
  </si>
  <si>
    <t>JE0480</t>
  </si>
  <si>
    <t>JE0481</t>
  </si>
  <si>
    <t>JE0482</t>
  </si>
  <si>
    <t>JE0483</t>
  </si>
  <si>
    <t>JE0484</t>
  </si>
  <si>
    <t>JE0485</t>
  </si>
  <si>
    <t>JE0486</t>
  </si>
  <si>
    <t>JE0487</t>
  </si>
  <si>
    <t>JE0488</t>
  </si>
  <si>
    <t>JE0489</t>
  </si>
  <si>
    <t>JE0490</t>
  </si>
  <si>
    <t>JE0491</t>
  </si>
  <si>
    <t>JE0492</t>
  </si>
  <si>
    <t>JE0493</t>
  </si>
  <si>
    <t>JE0494</t>
  </si>
  <si>
    <t>JE0495</t>
  </si>
  <si>
    <t>JE0496</t>
  </si>
  <si>
    <t>JE0497</t>
  </si>
  <si>
    <t>JE0498</t>
  </si>
  <si>
    <t>JE0499</t>
  </si>
  <si>
    <t>JE0500</t>
  </si>
  <si>
    <t>JE0501</t>
  </si>
  <si>
    <t>JE0502</t>
  </si>
  <si>
    <t>JE0503</t>
  </si>
  <si>
    <t>JE0504</t>
  </si>
  <si>
    <t>JE0505</t>
  </si>
  <si>
    <t>JE0506</t>
  </si>
  <si>
    <t>JE0507</t>
  </si>
  <si>
    <t>JE0508</t>
  </si>
  <si>
    <t>JE0509</t>
  </si>
  <si>
    <t>JE0510</t>
  </si>
  <si>
    <t>JE0511</t>
  </si>
  <si>
    <t>JE0512</t>
  </si>
  <si>
    <t>JE0513</t>
  </si>
  <si>
    <t>JE0514</t>
  </si>
  <si>
    <t>JE0515</t>
  </si>
  <si>
    <t>JE0516</t>
  </si>
  <si>
    <t>JE0517</t>
  </si>
  <si>
    <t>JE0518</t>
  </si>
  <si>
    <t>JE0519</t>
  </si>
  <si>
    <t>JE0520</t>
  </si>
  <si>
    <t>JE0521</t>
  </si>
  <si>
    <t>JE0522</t>
  </si>
  <si>
    <t>JE0523</t>
  </si>
  <si>
    <t>JE0524</t>
  </si>
  <si>
    <t>JE0525</t>
  </si>
  <si>
    <t>JE0526</t>
  </si>
  <si>
    <t>JE0527</t>
  </si>
  <si>
    <t>JE0528</t>
  </si>
  <si>
    <t>JE0529</t>
  </si>
  <si>
    <t>JE0530</t>
  </si>
  <si>
    <t>JE0531</t>
  </si>
  <si>
    <t>JE0532</t>
  </si>
  <si>
    <t>JE0533</t>
  </si>
  <si>
    <t>JE0534</t>
  </si>
  <si>
    <t>JE0535</t>
  </si>
  <si>
    <t>JE0536</t>
  </si>
  <si>
    <t>JE0537</t>
  </si>
  <si>
    <t>JE0538</t>
  </si>
  <si>
    <t>JE0539</t>
  </si>
  <si>
    <t>JE0540</t>
  </si>
  <si>
    <t>JE0541</t>
  </si>
  <si>
    <t>JE0542</t>
  </si>
  <si>
    <t>JE0543</t>
  </si>
  <si>
    <t>JE0544</t>
  </si>
  <si>
    <t>JE0545</t>
  </si>
  <si>
    <t>JE0546</t>
  </si>
  <si>
    <t>JE0547</t>
  </si>
  <si>
    <t>JE0548</t>
  </si>
  <si>
    <t>JE0549</t>
  </si>
  <si>
    <t>JE0550</t>
  </si>
  <si>
    <t>JE0551</t>
  </si>
  <si>
    <t>JE0552</t>
  </si>
  <si>
    <t>JE0553</t>
  </si>
  <si>
    <t>JE0554</t>
  </si>
  <si>
    <t>JE0555</t>
  </si>
  <si>
    <t>JE0556</t>
  </si>
  <si>
    <t>JE0557</t>
  </si>
  <si>
    <t>JE0558</t>
  </si>
  <si>
    <t>JE0559</t>
  </si>
  <si>
    <t>JE0560</t>
  </si>
  <si>
    <t>JE0561</t>
  </si>
  <si>
    <t>JE0562</t>
  </si>
  <si>
    <t>JE0563</t>
  </si>
  <si>
    <t>JE0564</t>
  </si>
  <si>
    <t>JE0565</t>
  </si>
  <si>
    <t>JE0566</t>
  </si>
  <si>
    <t>JE0567</t>
  </si>
  <si>
    <t>JE0568</t>
  </si>
  <si>
    <t>JE0569</t>
  </si>
  <si>
    <t>JE0570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</si>
</sst>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mmmm\ yyyy"/>
    <numFmt numFmtId="166" formatCode="_([$$-409]* #,##0.00_);_([$$-409]* \(#,##0.00\);_([$$-409]* \-??_);_(@_)"/>
    <numFmt numFmtId="167" formatCode="m/d/yyyy"/>
    <numFmt numFmtId="168" formatCode="\$#,##0;[Red]&quot;($&quot;#,##0\);\-"/>
    <numFmt numFmtId="169" formatCode="dd\-mmm\-yyyy"/>
  </numFmts>
  <fonts count="21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6"/>
      <color rgb="FFFFFFFF"/>
      <name val="Cambria"/>
      <family val="1"/>
    </font>
    <font>
      <b/>
      <sz val="11"/>
      <color rgb="FF1F1F1F"/>
      <name val="Cambria"/>
      <family val="1"/>
    </font>
    <font>
      <b/>
      <sz val="15"/>
      <color rgb="FFFFFFFF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2"/>
      <color rgb="FF1F4E78"/>
      <name val="Cambria"/>
      <family val="1"/>
    </font>
    <font>
      <sz val="18"/>
      <color theme="0"/>
      <name val="Arial Black"/>
      <family val="2"/>
      <charset val="1"/>
    </font>
    <font>
      <b/>
      <sz val="12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0"/>
      <name val="Arial"/>
      <family val="2"/>
    </font>
    <font>
      <sz val="11"/>
      <color theme="0"/>
      <name val="Calibri"/>
      <family val="2"/>
      <charset val="1"/>
    </font>
    <font>
      <sz val="11"/>
      <color rgb="FF666666"/>
      <name val="Cambria"/>
      <family val="1"/>
    </font>
    <font>
      <sz val="11"/>
      <color theme="1"/>
      <name val="Calibri"/>
      <family val="2"/>
      <charset val="1"/>
    </font>
    <font>
      <sz val="22"/>
      <color theme="0"/>
      <name val="Arial Black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AE3F3"/>
      </patternFill>
    </fill>
    <fill>
      <patternFill patternType="solid">
        <fgColor rgb="FF4472C4"/>
        <bgColor rgb="FF666666"/>
      </patternFill>
    </fill>
    <fill>
      <patternFill patternType="solid">
        <fgColor rgb="FFF6EAEA"/>
        <bgColor rgb="FFEDEDED"/>
      </patternFill>
    </fill>
    <fill>
      <patternFill patternType="solid">
        <fgColor rgb="FF452323"/>
        <bgColor rgb="FF512929"/>
      </patternFill>
    </fill>
    <fill>
      <patternFill patternType="solid">
        <fgColor rgb="FF512929"/>
        <bgColor rgb="FF452323"/>
      </patternFill>
    </fill>
    <fill>
      <patternFill patternType="solid">
        <fgColor theme="9" tint="-0.499984740745262"/>
        <bgColor rgb="FF595959"/>
      </patternFill>
    </fill>
    <fill>
      <patternFill patternType="solid">
        <fgColor theme="6" tint="0.79989013336588644"/>
        <bgColor rgb="FFF6EAEA"/>
      </patternFill>
    </fill>
    <fill>
      <patternFill patternType="solid">
        <fgColor theme="4" tint="0.79989013336588644"/>
        <bgColor rgb="FFD9EAF7"/>
      </patternFill>
    </fill>
    <fill>
      <patternFill patternType="solid">
        <fgColor rgb="FF512929"/>
        <bgColor rgb="FF512929"/>
      </patternFill>
    </fill>
    <fill>
      <patternFill patternType="solid">
        <fgColor rgb="FF512929"/>
        <bgColor indexed="64"/>
      </patternFill>
    </fill>
    <fill>
      <patternFill patternType="solid">
        <fgColor rgb="FF452323"/>
        <bgColor rgb="FF452323"/>
      </patternFill>
    </fill>
    <fill>
      <patternFill patternType="solid">
        <fgColor rgb="FF45232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4">
    <xf numFmtId="0" fontId="0" fillId="0" borderId="0"/>
    <xf numFmtId="164" fontId="1" fillId="0" borderId="0"/>
    <xf numFmtId="164" fontId="19" fillId="0" borderId="0"/>
    <xf numFmtId="0" fontId="2" fillId="0" borderId="0"/>
  </cellStyleXfs>
  <cellXfs count="87">
    <xf numFmtId="0" fontId="0" fillId="0" borderId="0" xfId="0"/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4" borderId="0" xfId="0" applyFont="1" applyFill="1"/>
    <xf numFmtId="0" fontId="7" fillId="0" borderId="0" xfId="0" applyFont="1" applyAlignment="1">
      <alignment vertical="top" wrapText="1"/>
    </xf>
    <xf numFmtId="0" fontId="8" fillId="0" borderId="0" xfId="0" applyFont="1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0" fillId="5" borderId="0" xfId="0" applyFill="1"/>
    <xf numFmtId="166" fontId="0" fillId="0" borderId="0" xfId="0" applyNumberFormat="1"/>
    <xf numFmtId="0" fontId="0" fillId="6" borderId="0" xfId="0" applyFill="1"/>
    <xf numFmtId="0" fontId="9" fillId="6" borderId="0" xfId="0" applyFont="1" applyFill="1"/>
    <xf numFmtId="166" fontId="0" fillId="6" borderId="0" xfId="0" applyNumberFormat="1" applyFill="1"/>
    <xf numFmtId="0" fontId="10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5" borderId="2" xfId="0" applyFont="1" applyFill="1" applyBorder="1"/>
    <xf numFmtId="167" fontId="12" fillId="5" borderId="2" xfId="0" applyNumberFormat="1" applyFont="1" applyFill="1" applyBorder="1"/>
    <xf numFmtId="0" fontId="12" fillId="0" borderId="0" xfId="0" applyFont="1"/>
    <xf numFmtId="167" fontId="12" fillId="0" borderId="0" xfId="0" applyNumberFormat="1" applyFont="1"/>
    <xf numFmtId="0" fontId="0" fillId="7" borderId="0" xfId="0" applyFill="1"/>
    <xf numFmtId="0" fontId="14" fillId="0" borderId="0" xfId="0" applyFont="1"/>
    <xf numFmtId="168" fontId="0" fillId="0" borderId="0" xfId="0" applyNumberFormat="1"/>
    <xf numFmtId="0" fontId="0" fillId="0" borderId="3" xfId="0" applyBorder="1"/>
    <xf numFmtId="0" fontId="12" fillId="0" borderId="4" xfId="0" applyFont="1" applyBorder="1"/>
    <xf numFmtId="166" fontId="12" fillId="0" borderId="4" xfId="0" applyNumberFormat="1" applyFont="1" applyBorder="1"/>
    <xf numFmtId="168" fontId="12" fillId="0" borderId="4" xfId="0" applyNumberFormat="1" applyFont="1" applyBorder="1"/>
    <xf numFmtId="166" fontId="12" fillId="0" borderId="0" xfId="0" applyNumberFormat="1" applyFont="1"/>
    <xf numFmtId="0" fontId="0" fillId="0" borderId="5" xfId="0" applyBorder="1"/>
    <xf numFmtId="0" fontId="12" fillId="0" borderId="6" xfId="0" applyFont="1" applyBorder="1"/>
    <xf numFmtId="166" fontId="12" fillId="0" borderId="6" xfId="0" applyNumberFormat="1" applyFont="1" applyBorder="1"/>
    <xf numFmtId="168" fontId="12" fillId="0" borderId="6" xfId="0" applyNumberFormat="1" applyFont="1" applyBorder="1"/>
    <xf numFmtId="0" fontId="15" fillId="0" borderId="7" xfId="0" applyFont="1" applyBorder="1"/>
    <xf numFmtId="168" fontId="15" fillId="0" borderId="7" xfId="0" applyNumberFormat="1" applyFont="1" applyBorder="1"/>
    <xf numFmtId="166" fontId="15" fillId="0" borderId="7" xfId="0" applyNumberFormat="1" applyFont="1" applyBorder="1"/>
    <xf numFmtId="0" fontId="15" fillId="0" borderId="0" xfId="0" applyFont="1"/>
    <xf numFmtId="0" fontId="12" fillId="0" borderId="8" xfId="0" applyFont="1" applyBorder="1"/>
    <xf numFmtId="166" fontId="12" fillId="0" borderId="8" xfId="0" applyNumberFormat="1" applyFont="1" applyBorder="1"/>
    <xf numFmtId="168" fontId="12" fillId="0" borderId="8" xfId="0" applyNumberFormat="1" applyFont="1" applyBorder="1"/>
    <xf numFmtId="0" fontId="0" fillId="0" borderId="6" xfId="0" applyBorder="1"/>
    <xf numFmtId="166" fontId="0" fillId="0" borderId="6" xfId="0" applyNumberFormat="1" applyBorder="1"/>
    <xf numFmtId="0" fontId="0" fillId="0" borderId="9" xfId="0" applyBorder="1"/>
    <xf numFmtId="0" fontId="12" fillId="0" borderId="10" xfId="0" applyFont="1" applyBorder="1"/>
    <xf numFmtId="166" fontId="12" fillId="0" borderId="10" xfId="0" applyNumberFormat="1" applyFont="1" applyBorder="1"/>
    <xf numFmtId="168" fontId="12" fillId="0" borderId="10" xfId="0" applyNumberFormat="1" applyFont="1" applyBorder="1"/>
    <xf numFmtId="0" fontId="12" fillId="0" borderId="7" xfId="0" applyFont="1" applyBorder="1"/>
    <xf numFmtId="166" fontId="12" fillId="0" borderId="7" xfId="0" applyNumberFormat="1" applyFont="1" applyBorder="1"/>
    <xf numFmtId="168" fontId="12" fillId="0" borderId="7" xfId="0" applyNumberFormat="1" applyFont="1" applyBorder="1"/>
    <xf numFmtId="0" fontId="17" fillId="8" borderId="0" xfId="0" applyFont="1" applyFill="1" applyAlignment="1">
      <alignment horizontal="center"/>
    </xf>
    <xf numFmtId="0" fontId="0" fillId="9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64" fontId="6" fillId="2" borderId="13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0" fillId="0" borderId="0" xfId="0" applyAlignment="1">
      <alignment horizontal="center"/>
    </xf>
    <xf numFmtId="0" fontId="0" fillId="10" borderId="12" xfId="0" applyFill="1" applyBorder="1"/>
    <xf numFmtId="0" fontId="0" fillId="10" borderId="13" xfId="0" applyFill="1" applyBorder="1"/>
    <xf numFmtId="168" fontId="0" fillId="10" borderId="13" xfId="0" applyNumberFormat="1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168" fontId="18" fillId="0" borderId="0" xfId="0" applyNumberFormat="1" applyFont="1" applyAlignment="1">
      <alignment horizontal="center"/>
    </xf>
    <xf numFmtId="167" fontId="0" fillId="0" borderId="0" xfId="0" applyNumberFormat="1"/>
    <xf numFmtId="0" fontId="0" fillId="0" borderId="12" xfId="0" applyBorder="1"/>
    <xf numFmtId="0" fontId="0" fillId="0" borderId="13" xfId="0" applyBorder="1"/>
    <xf numFmtId="168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168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8" fontId="0" fillId="0" borderId="0" xfId="0" applyNumberFormat="1" applyAlignment="1">
      <alignment horizontal="center"/>
    </xf>
    <xf numFmtId="168" fontId="18" fillId="0" borderId="0" xfId="0" applyNumberFormat="1" applyFon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3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11" fillId="8" borderId="0" xfId="0" applyFont="1" applyFill="1" applyAlignment="1">
      <alignment horizontal="center"/>
    </xf>
  </cellXfs>
  <cellStyles count="4">
    <cellStyle name="Currency 2" xfId="1" xr:uid="{00000000-0005-0000-0000-000006000000}"/>
    <cellStyle name="Currency 3" xfId="2" xr:uid="{00000000-0005-0000-0000-000007000000}"/>
    <cellStyle name="Normal" xfId="0" builtinId="0"/>
    <cellStyle name="Normal 3" xfId="3" xr:uid="{00000000-0005-0000-0000-000008000000}"/>
  </cellStyles>
  <dxfs count="2"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95959"/>
      <rgbColor rgb="FF800080"/>
      <rgbColor rgb="FF008080"/>
      <rgbColor rgb="FFD9D9D9"/>
      <rgbColor rgb="FF8B8B8B"/>
      <rgbColor rgb="FF8FAADC"/>
      <rgbColor rgb="FF924040"/>
      <rgbColor rgb="FFF6EAEA"/>
      <rgbColor rgb="FFD9EAF7"/>
      <rgbColor rgb="FF512929"/>
      <rgbColor rgb="FFCF9191"/>
      <rgbColor rgb="FF0066CC"/>
      <rgbColor rgb="FFBBC8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DEDED"/>
      <rgbColor rgb="FFE7E6E6"/>
      <rgbColor rgb="FF99CCFF"/>
      <rgbColor rgb="FFB88A8A"/>
      <rgbColor rgb="FFC19999"/>
      <rgbColor rgb="FFF4CCCC"/>
      <rgbColor rgb="FF4472C4"/>
      <rgbColor rgb="FF33CCCC"/>
      <rgbColor rgb="FF99CC00"/>
      <rgbColor rgb="FFFFCC00"/>
      <rgbColor rgb="FFFF9900"/>
      <rgbColor rgb="FFED7D31"/>
      <rgbColor rgb="FF666666"/>
      <rgbColor rgb="FFA5A5A5"/>
      <rgbColor rgb="FF003366"/>
      <rgbColor rgb="FF339966"/>
      <rgbColor rgb="FF385623"/>
      <rgbColor rgb="FF1F1F1F"/>
      <rgbColor rgb="FF993300"/>
      <rgbColor rgb="FF915959"/>
      <rgbColor rgb="FF1F4E78"/>
      <rgbColor rgb="FF45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52323"/>
      <color rgb="FFEFD9D9"/>
      <color rgb="FFF6EAEA"/>
      <color rgb="FFDB9D9D"/>
      <color rgb="FFC96D6D"/>
      <color rgb="FFD19393"/>
      <color rgb="FFBA5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FFFFFF"/>
                </a:solidFill>
                <a:uFillTx/>
                <a:latin typeface="Calibri"/>
              </a:rPr>
              <a:t>Net Cash (Operations)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1292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(Dashboard!$F$87,Dashboard!$F$90)</c:f>
              <c:strCache>
                <c:ptCount val="2"/>
                <c:pt idx="0">
                  <c:v> Received dividend income </c:v>
                </c:pt>
                <c:pt idx="1">
                  <c:v> Purchased equipment </c:v>
                </c:pt>
              </c:strCache>
            </c:strRef>
          </c:cat>
          <c:val>
            <c:numRef>
              <c:f>(Dashboard!$G$87,Dashboard!$G$90)</c:f>
              <c:numCache>
                <c:formatCode>\$#,##0;[Red]"($"#,##0\);\-</c:formatCode>
                <c:ptCount val="2"/>
                <c:pt idx="0">
                  <c:v>7000</c:v>
                </c:pt>
                <c:pt idx="1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9-4D26-B69F-C938725FC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30289"/>
        <c:axId val="34825741"/>
      </c:barChart>
      <c:catAx>
        <c:axId val="215302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825741"/>
        <c:crosses val="autoZero"/>
        <c:auto val="1"/>
        <c:lblAlgn val="ctr"/>
        <c:lblOffset val="100"/>
        <c:noMultiLvlLbl val="0"/>
      </c:catAx>
      <c:valAx>
        <c:axId val="34825741"/>
        <c:scaling>
          <c:orientation val="minMax"/>
        </c:scaling>
        <c:delete val="1"/>
        <c:axPos val="l"/>
        <c:numFmt formatCode="\$#,##0;[Red]&quot;($&quot;#,##0\);\-" sourceLinked="1"/>
        <c:majorTickMark val="out"/>
        <c:minorTickMark val="none"/>
        <c:tickLblPos val="nextTo"/>
        <c:crossAx val="215302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F6EAEA"/>
        </a:gs>
        <a:gs pos="0">
          <a:srgbClr val="95ACEA"/>
        </a:gs>
        <a:gs pos="0">
          <a:srgbClr val="F6EAEA"/>
        </a:gs>
        <a:gs pos="100000">
          <a:srgbClr val="F6EAEA">
            <a:alpha val="0"/>
            <a:lumMod val="6000"/>
            <a:lumOff val="94000"/>
          </a:srgbClr>
        </a:gs>
      </a:gsLst>
      <a:lin ang="16200000"/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452323"/>
                </a:solidFill>
                <a:uFillTx/>
                <a:latin typeface="Calibri"/>
              </a:rPr>
              <a:t>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Dashboard!$H$10</c:f>
              <c:strCache>
                <c:ptCount val="1"/>
              </c:strCache>
            </c:strRef>
          </c:tx>
          <c:spPr>
            <a:solidFill>
              <a:srgbClr val="51292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Dashboard!$D$11:$E$14</c:f>
              <c:strCache>
                <c:ptCount val="4"/>
                <c:pt idx="0">
                  <c:v>Consulting Revenue</c:v>
                </c:pt>
                <c:pt idx="1">
                  <c:v>Dividend Income</c:v>
                </c:pt>
                <c:pt idx="2">
                  <c:v>Sales Revenue</c:v>
                </c:pt>
                <c:pt idx="3">
                  <c:v>Service Revenue</c:v>
                </c:pt>
              </c:strCache>
            </c:strRef>
          </c:cat>
          <c:val>
            <c:numRef>
              <c:f>Dashboard!$H$11:$H$14</c:f>
              <c:numCache>
                <c:formatCode>\$#,##0;[Red]"($"#,##0\);\-</c:formatCode>
                <c:ptCount val="4"/>
                <c:pt idx="0">
                  <c:v>73000</c:v>
                </c:pt>
                <c:pt idx="1">
                  <c:v>7000</c:v>
                </c:pt>
                <c:pt idx="2">
                  <c:v>485000</c:v>
                </c:pt>
                <c:pt idx="3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2-47FF-9DAB-9C0E55FED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56082"/>
        <c:axId val="88745946"/>
      </c:barChart>
      <c:catAx>
        <c:axId val="9225608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8745946"/>
        <c:crosses val="autoZero"/>
        <c:auto val="1"/>
        <c:lblAlgn val="ctr"/>
        <c:lblOffset val="100"/>
        <c:noMultiLvlLbl val="0"/>
      </c:catAx>
      <c:valAx>
        <c:axId val="88745946"/>
        <c:scaling>
          <c:orientation val="minMax"/>
        </c:scaling>
        <c:delete val="1"/>
        <c:axPos val="b"/>
        <c:numFmt formatCode="\$#,##0;[Red]&quot;($&quot;#,##0\);\-" sourceLinked="1"/>
        <c:majorTickMark val="out"/>
        <c:minorTickMark val="none"/>
        <c:tickLblPos val="nextTo"/>
        <c:crossAx val="922560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F6EAEA"/>
        </a:gs>
        <a:gs pos="0">
          <a:srgbClr val="F6EAEA"/>
        </a:gs>
        <a:gs pos="100000">
          <a:srgbClr val="F6EAEA">
            <a:lumMod val="0"/>
            <a:lumOff val="100000"/>
          </a:srgbClr>
        </a:gs>
      </a:gsLst>
      <a:lin ang="10800000"/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452323"/>
                </a:solidFill>
                <a:uFillTx/>
                <a:latin typeface="Calibri"/>
              </a:rPr>
              <a:t>Cost of  Goods Sold</a:t>
            </a:r>
          </a:p>
        </c:rich>
      </c:tx>
      <c:layout>
        <c:manualLayout>
          <c:xMode val="edge"/>
          <c:yMode val="edge"/>
          <c:x val="0.37748815165876798"/>
          <c:y val="1.4203051025775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913112164297001"/>
          <c:y val="9.2319831667543401E-2"/>
          <c:w val="0.48214849921011099"/>
          <c:h val="0.80155181483429805"/>
        </c:manualLayout>
      </c:layout>
      <c:areaChart>
        <c:grouping val="stacked"/>
        <c:varyColors val="0"/>
        <c:ser>
          <c:idx val="2"/>
          <c:order val="2"/>
          <c:tx>
            <c:strRef>
              <c:f>Dashboard!$H$16</c:f>
              <c:strCache>
                <c:ptCount val="1"/>
              </c:strCache>
            </c:strRef>
          </c:tx>
          <c:spPr>
            <a:solidFill>
              <a:srgbClr val="EFD9D9"/>
            </a:solidFill>
            <a:ln w="0">
              <a:solidFill>
                <a:srgbClr val="452323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F-13BC-4FFD-B0F6-219FB0C1047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1-13BC-4FFD-B0F6-219FB0C1047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3-13BC-4FFD-B0F6-219FB0C10471}"/>
              </c:ext>
            </c:extLst>
          </c:dPt>
          <c:dLbls>
            <c:dLbl>
              <c:idx val="0"/>
              <c:layout>
                <c:manualLayout>
                  <c:x val="0.27876477401047478"/>
                  <c:y val="-0.301333167365762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072796973613348"/>
                      <c:h val="0.143573751474270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13BC-4FFD-B0F6-219FB0C104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22188864867703564"/>
                      <c:h val="0.212734648946950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3BC-4FFD-B0F6-219FB0C104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3BC-4FFD-B0F6-219FB0C10471}"/>
                </c:ext>
              </c:extLst>
            </c:dLbl>
            <c:spPr>
              <a:ln w="12600">
                <a:solidFill>
                  <a:srgbClr val="452323"/>
                </a:solidFill>
              </a:ln>
            </c:spPr>
            <c:txPr>
              <a:bodyPr wrap="square"/>
              <a:lstStyle/>
              <a:p>
                <a:pPr>
                  <a:defRPr sz="900" b="1" u="none" strike="noStrike">
                    <a:solidFill>
                      <a:srgbClr val="452323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Dashboard!$D$17:$E$18</c:f>
              <c:strCache>
                <c:ptCount val="1"/>
                <c:pt idx="0">
                  <c:v>Cost of Goods Sold</c:v>
                </c:pt>
              </c:strCache>
            </c:strRef>
          </c:cat>
          <c:val>
            <c:numRef>
              <c:f>Dashboard!$H$17:$H$18</c:f>
              <c:numCache>
                <c:formatCode>\$#,##0;[Red]"($"#,##0\);\-</c:formatCode>
                <c:ptCount val="2"/>
                <c:pt idx="0">
                  <c:v>208500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3BC-4FFD-B0F6-219FB0C10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972320"/>
        <c:axId val="1327039136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Dashboard!$F$16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4472C4"/>
                  </a:solidFill>
                  <a:ln w="0">
                    <a:noFill/>
                  </a:ln>
                </c:spPr>
                <c:dPt>
                  <c:idx val="0"/>
                  <c:bubble3D val="0"/>
                  <c:extLst>
                    <c:ext xmlns:c16="http://schemas.microsoft.com/office/drawing/2014/chart" uri="{C3380CC4-5D6E-409C-BE32-E72D297353CC}">
                      <c16:uniqueId val="{00000001-13BC-4FFD-B0F6-219FB0C10471}"/>
                    </c:ext>
                  </c:extLst>
                </c:dPt>
                <c:dPt>
                  <c:idx val="1"/>
                  <c:bubble3D val="0"/>
                  <c:extLst>
                    <c:ext xmlns:c16="http://schemas.microsoft.com/office/drawing/2014/chart" uri="{C3380CC4-5D6E-409C-BE32-E72D297353CC}">
                      <c16:uniqueId val="{00000003-13BC-4FFD-B0F6-219FB0C10471}"/>
                    </c:ext>
                  </c:extLst>
                </c:dPt>
                <c:dPt>
                  <c:idx val="2"/>
                  <c:bubble3D val="0"/>
                  <c:extLst>
                    <c:ext xmlns:c16="http://schemas.microsoft.com/office/drawing/2014/chart" uri="{C3380CC4-5D6E-409C-BE32-E72D297353CC}">
                      <c16:uniqueId val="{00000005-13BC-4FFD-B0F6-219FB0C10471}"/>
                    </c:ext>
                  </c:extLst>
                </c:dPt>
                <c:dLbls>
                  <c:spPr>
                    <a:solidFill>
                      <a:srgbClr val="FFFFFF"/>
                    </a:solidFill>
                  </c:spPr>
                  <c:txPr>
                    <a:bodyPr wrap="square"/>
                    <a:lstStyle/>
                    <a:p>
                      <a:pPr>
                        <a:defRPr sz="900" b="0" u="none" strike="noStrike">
                          <a:solidFill>
                            <a:srgbClr val="595959"/>
                          </a:solidFill>
                          <a:uFillTx/>
                          <a:latin typeface="Calibri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eparator>
</c:separator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Dashboard!$D$17:$E$18</c15:sqref>
                        </c15:formulaRef>
                      </c:ext>
                    </c:extLst>
                    <c:strCache>
                      <c:ptCount val="1"/>
                      <c:pt idx="0">
                        <c:v>Cost of Goods Sold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Dashboard!$F$17:$F$18</c15:sqref>
                        </c15:formulaRef>
                      </c:ext>
                    </c:extLst>
                    <c:numCache>
                      <c:formatCode>_([$$-409]* #,##0.00_);_([$$-409]* \(#,##0.00\);_([$$-409]* \-??_);_(@_)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3BC-4FFD-B0F6-219FB0C10471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ED7D31"/>
                  </a:solidFill>
                  <a:ln w="0">
                    <a:noFill/>
                  </a:ln>
                </c:spPr>
                <c:dPt>
                  <c:idx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8-13BC-4FFD-B0F6-219FB0C10471}"/>
                    </c:ext>
                  </c:extLst>
                </c:dPt>
                <c:dPt>
                  <c:idx val="1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A-13BC-4FFD-B0F6-219FB0C10471}"/>
                    </c:ext>
                  </c:extLst>
                </c:dPt>
                <c:dPt>
                  <c:idx val="2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13BC-4FFD-B0F6-219FB0C10471}"/>
                    </c:ext>
                  </c:extLst>
                </c:dPt>
                <c:dLbls>
                  <c:spPr>
                    <a:solidFill>
                      <a:srgbClr val="FFFFFF"/>
                    </a:solidFill>
                  </c:spPr>
                  <c:txPr>
                    <a:bodyPr wrap="square"/>
                    <a:lstStyle/>
                    <a:p>
                      <a:pPr>
                        <a:defRPr sz="900" b="0" u="none" strike="noStrike">
                          <a:solidFill>
                            <a:srgbClr val="595959"/>
                          </a:solidFill>
                          <a:uFillTx/>
                          <a:latin typeface="Calibri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eparator>
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Dashboard!$D$17:$E$18</c15:sqref>
                        </c15:formulaRef>
                      </c:ext>
                    </c:extLst>
                    <c:strCache>
                      <c:ptCount val="1"/>
                      <c:pt idx="0">
                        <c:v>Cost of Goods Sold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Dashboard!$G$17:$G$18</c15:sqref>
                        </c15:formulaRef>
                      </c:ext>
                    </c:extLst>
                    <c:numCache>
                      <c:formatCode>_([$$-409]* #,##0.00_);_([$$-409]* \(#,##0.00\);_([$$-409]* \-??_);_(@_)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3BC-4FFD-B0F6-219FB0C10471}"/>
                  </c:ext>
                </c:extLst>
              </c15:ser>
            </c15:filteredAreaSeries>
          </c:ext>
        </c:extLst>
      </c:areaChart>
      <c:catAx>
        <c:axId val="1506972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7039136"/>
        <c:crosses val="autoZero"/>
        <c:auto val="1"/>
        <c:lblAlgn val="ctr"/>
        <c:lblOffset val="100"/>
        <c:noMultiLvlLbl val="0"/>
      </c:catAx>
      <c:valAx>
        <c:axId val="1327039136"/>
        <c:scaling>
          <c:orientation val="minMax"/>
        </c:scaling>
        <c:delete val="0"/>
        <c:axPos val="l"/>
        <c:majorGridlines/>
        <c:numFmt formatCode="\$#,##0;[Red]&quot;($&quot;#,##0\);\-" sourceLinked="1"/>
        <c:majorTickMark val="out"/>
        <c:minorTickMark val="none"/>
        <c:tickLblPos val="nextTo"/>
        <c:crossAx val="150697232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95ACEA"/>
        </a:gs>
        <a:gs pos="0">
          <a:srgbClr val="F6EAEA"/>
        </a:gs>
        <a:gs pos="100000">
          <a:srgbClr val="F6EAEA">
            <a:lumMod val="0"/>
            <a:lumOff val="100000"/>
          </a:srgbClr>
        </a:gs>
      </a:gsLst>
      <a:lin ang="2700000"/>
    </a:gradFill>
    <a:ln w="9360">
      <a:noFill/>
    </a:ln>
  </c:sp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 baseline="0">
                <a:solidFill>
                  <a:schemeClr val="bg1"/>
                </a:solidFill>
                <a:uFillTx/>
                <a:latin typeface="Arial"/>
              </a:defRPr>
            </a:pPr>
            <a:r>
              <a:rPr lang="en-US" sz="1400" b="1" u="none" strike="noStrike" baseline="0">
                <a:solidFill>
                  <a:schemeClr val="bg1"/>
                </a:solidFill>
                <a:uFillTx/>
                <a:latin typeface="Calibri"/>
              </a:rPr>
              <a:t>Assets</a:t>
            </a:r>
          </a:p>
        </c:rich>
      </c:tx>
      <c:layout>
        <c:manualLayout>
          <c:xMode val="edge"/>
          <c:yMode val="edge"/>
          <c:x val="0.47204553063274202"/>
          <c:y val="4.235746057420140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539550643890851"/>
          <c:y val="0.2545623065545673"/>
          <c:w val="0.57831205263651431"/>
          <c:h val="0.66215249721103075"/>
        </c:manualLayout>
      </c:layout>
      <c:doughnutChart>
        <c:varyColors val="1"/>
        <c:ser>
          <c:idx val="0"/>
          <c:order val="0"/>
          <c:spPr>
            <a:solidFill>
              <a:srgbClr val="512929"/>
            </a:solidFill>
            <a:ln w="1152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452323"/>
              </a:solidFill>
              <a:ln w="1152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788-4B38-8578-1D88C36F5420}"/>
              </c:ext>
            </c:extLst>
          </c:dPt>
          <c:dPt>
            <c:idx val="1"/>
            <c:bubble3D val="0"/>
            <c:spPr>
              <a:solidFill>
                <a:srgbClr val="D19393"/>
              </a:solidFill>
              <a:ln w="1152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788-4B38-8578-1D88C36F5420}"/>
              </c:ext>
            </c:extLst>
          </c:dPt>
          <c:dPt>
            <c:idx val="2"/>
            <c:bubble3D val="0"/>
            <c:spPr>
              <a:solidFill>
                <a:srgbClr val="EFD9D9"/>
              </a:solidFill>
              <a:ln w="1152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788-4B38-8578-1D88C36F5420}"/>
              </c:ext>
            </c:extLst>
          </c:dPt>
          <c:dPt>
            <c:idx val="3"/>
            <c:bubble3D val="0"/>
            <c:spPr>
              <a:solidFill>
                <a:srgbClr val="D19393"/>
              </a:solidFill>
              <a:ln w="1152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788-4B38-8578-1D88C36F5420}"/>
              </c:ext>
            </c:extLst>
          </c:dPt>
          <c:dPt>
            <c:idx val="4"/>
            <c:bubble3D val="0"/>
            <c:spPr>
              <a:solidFill>
                <a:srgbClr val="EFD9D9"/>
              </a:solidFill>
              <a:ln w="1152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788-4B38-8578-1D88C36F5420}"/>
              </c:ext>
            </c:extLst>
          </c:dPt>
          <c:dLbls>
            <c:dLbl>
              <c:idx val="0"/>
              <c:layout>
                <c:manualLayout>
                  <c:x val="0.41867068577501315"/>
                  <c:y val="3.1957814566388652E-2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88-4B38-8578-1D88C36F5420}"/>
                </c:ext>
              </c:extLst>
            </c:dLbl>
            <c:dLbl>
              <c:idx val="1"/>
              <c:layout>
                <c:manualLayout>
                  <c:x val="-0.31012643390741723"/>
                  <c:y val="-7.1017365703085936E-2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88-4B38-8578-1D88C36F5420}"/>
                </c:ext>
              </c:extLst>
            </c:dLbl>
            <c:dLbl>
              <c:idx val="2"/>
              <c:layout>
                <c:manualLayout>
                  <c:x val="0.15816448129278279"/>
                  <c:y val="-0.15978907283194327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88-4B38-8578-1D88C36F5420}"/>
                </c:ext>
              </c:extLst>
            </c:dLbl>
            <c:dLbl>
              <c:idx val="3"/>
              <c:layout>
                <c:manualLayout>
                  <c:x val="0.23879735410871128"/>
                  <c:y val="-0.15978907283194327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88-4B38-8578-1D88C36F5420}"/>
                </c:ext>
              </c:extLst>
            </c:dLbl>
            <c:dLbl>
              <c:idx val="4"/>
              <c:layout>
                <c:manualLayout>
                  <c:x val="0.20778471071796945"/>
                  <c:y val="-6.7466497417931606E-2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88-4B38-8578-1D88C36F54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u="none" strike="noStrike">
                    <a:solidFill>
                      <a:srgbClr val="512929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>
                  <a:solidFill>
                    <a:srgbClr val="452323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(Dashboard!$E$42:$E$44,Dashboard!$E$48:$E$49)</c:f>
              <c:strCache>
                <c:ptCount val="5"/>
                <c:pt idx="0">
                  <c:v>Cash</c:v>
                </c:pt>
                <c:pt idx="1">
                  <c:v>Accounts Receivable</c:v>
                </c:pt>
                <c:pt idx="2">
                  <c:v>Inventory</c:v>
                </c:pt>
                <c:pt idx="3">
                  <c:v>Equipment</c:v>
                </c:pt>
                <c:pt idx="4">
                  <c:v>Accumulated Depreciation</c:v>
                </c:pt>
              </c:strCache>
            </c:strRef>
          </c:cat>
          <c:val>
            <c:numRef>
              <c:f>(Dashboard!$F$42:$F$44,Dashboard!$F$48:$F$49)</c:f>
              <c:numCache>
                <c:formatCode>\$#,##0;[Red]"($"#,##0\);\-</c:formatCode>
                <c:ptCount val="5"/>
                <c:pt idx="0">
                  <c:v>1119400</c:v>
                </c:pt>
                <c:pt idx="1">
                  <c:v>326000</c:v>
                </c:pt>
                <c:pt idx="2">
                  <c:v>125000</c:v>
                </c:pt>
                <c:pt idx="3">
                  <c:v>42500</c:v>
                </c:pt>
                <c:pt idx="4">
                  <c:v>-30600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88-4B38-8578-1D88C36F5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0"/>
        <c:holeSize val="50"/>
      </c:doughnutChart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F6EAEA">
            <a:alpha val="6000"/>
          </a:srgbClr>
        </a:gs>
        <a:gs pos="0">
          <a:srgbClr val="95ACEA"/>
        </a:gs>
        <a:gs pos="0">
          <a:srgbClr val="F6EAEA"/>
        </a:gs>
        <a:gs pos="100000">
          <a:srgbClr val="F6EAEA">
            <a:alpha val="0"/>
            <a:lumMod val="6000"/>
            <a:lumOff val="94000"/>
          </a:srgbClr>
        </a:gs>
      </a:gsLst>
      <a:lin ang="16200000"/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 baseline="0">
                <a:solidFill>
                  <a:schemeClr val="bg1"/>
                </a:solidFill>
                <a:uFillTx/>
                <a:latin typeface="Arial"/>
              </a:defRPr>
            </a:pPr>
            <a:r>
              <a:rPr lang="en-US" sz="1400" b="1" u="none" strike="noStrike" baseline="0">
                <a:solidFill>
                  <a:schemeClr val="bg1"/>
                </a:solidFill>
                <a:uFillTx/>
                <a:latin typeface="Calibri"/>
              </a:rPr>
              <a:t>Liabilities</a:t>
            </a:r>
          </a:p>
        </c:rich>
      </c:tx>
      <c:layout>
        <c:manualLayout>
          <c:xMode val="edge"/>
          <c:yMode val="edge"/>
          <c:x val="0.47205472054720599"/>
          <c:y val="4.2344618494189003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24792012087553"/>
          <c:y val="0.24028627570457864"/>
          <c:w val="0.61555387410234341"/>
          <c:h val="0.65510625630647878"/>
        </c:manualLayout>
      </c:layout>
      <c:doughnutChart>
        <c:varyColors val="1"/>
        <c:ser>
          <c:idx val="0"/>
          <c:order val="0"/>
          <c:spPr>
            <a:solidFill>
              <a:srgbClr val="4472C4"/>
            </a:solidFill>
            <a:ln w="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rgbClr val="452323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9F9-498D-998E-E49D3F1710BF}"/>
              </c:ext>
            </c:extLst>
          </c:dPt>
          <c:dPt>
            <c:idx val="1"/>
            <c:bubble3D val="0"/>
            <c:spPr>
              <a:solidFill>
                <a:srgbClr val="92404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9F9-498D-998E-E49D3F1710BF}"/>
              </c:ext>
            </c:extLst>
          </c:dPt>
          <c:dPt>
            <c:idx val="2"/>
            <c:bubble3D val="0"/>
            <c:spPr>
              <a:solidFill>
                <a:srgbClr val="C19999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9F9-498D-998E-E49D3F1710BF}"/>
              </c:ext>
            </c:extLst>
          </c:dPt>
          <c:dPt>
            <c:idx val="3"/>
            <c:bubble3D val="0"/>
            <c:spPr>
              <a:solidFill>
                <a:srgbClr val="EFD9D9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9F9-498D-998E-E49D3F1710BF}"/>
              </c:ext>
            </c:extLst>
          </c:dPt>
          <c:dPt>
            <c:idx val="4"/>
            <c:bubble3D val="0"/>
            <c:spPr>
              <a:solidFill>
                <a:srgbClr val="DB9D9D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9F9-498D-998E-E49D3F1710BF}"/>
              </c:ext>
            </c:extLst>
          </c:dPt>
          <c:dLbls>
            <c:dLbl>
              <c:idx val="0"/>
              <c:layout>
                <c:manualLayout>
                  <c:x val="0.15676735162977365"/>
                  <c:y val="0.14199185503414233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F9-498D-998E-E49D3F1710BF}"/>
                </c:ext>
              </c:extLst>
            </c:dLbl>
            <c:dLbl>
              <c:idx val="1"/>
              <c:layout>
                <c:manualLayout>
                  <c:x val="-0.21013496069522866"/>
                  <c:y val="0.15264124416170288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F9-498D-998E-E49D3F1710BF}"/>
                </c:ext>
              </c:extLst>
            </c:dLbl>
            <c:dLbl>
              <c:idx val="2"/>
              <c:layout>
                <c:manualLayout>
                  <c:x val="-0.32687660552591125"/>
                  <c:y val="0.11359348402731387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F9-498D-998E-E49D3F1710BF}"/>
                </c:ext>
              </c:extLst>
            </c:dLbl>
            <c:dLbl>
              <c:idx val="3"/>
              <c:layout>
                <c:manualLayout>
                  <c:x val="-0.26683804532727451"/>
                  <c:y val="3.5497963758535582E-2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F9-498D-998E-E49D3F1710BF}"/>
                </c:ext>
              </c:extLst>
            </c:dLbl>
            <c:dLbl>
              <c:idx val="4"/>
              <c:layout>
                <c:manualLayout>
                  <c:x val="-0.32687660552591125"/>
                  <c:y val="-5.6796742013656934E-2"/>
                </c:manualLayout>
              </c:layout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512929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F9-498D-998E-E49D3F1710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u="none" strike="noStrike">
                    <a:solidFill>
                      <a:srgbClr val="512929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>
                  <a:solidFill>
                    <a:srgbClr val="452323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(Dashboard!$K$42:$K$43,Dashboard!$K$47,Dashboard!$K$51:$K$52)</c:f>
              <c:strCache>
                <c:ptCount val="5"/>
                <c:pt idx="0">
                  <c:v>Accounts Payable</c:v>
                </c:pt>
                <c:pt idx="1">
                  <c:v>Unearned Revenue</c:v>
                </c:pt>
                <c:pt idx="2">
                  <c:v>Bank Loan</c:v>
                </c:pt>
                <c:pt idx="3">
                  <c:v>Common Stock</c:v>
                </c:pt>
                <c:pt idx="4">
                  <c:v>Retained Earnings</c:v>
                </c:pt>
              </c:strCache>
            </c:strRef>
          </c:cat>
          <c:val>
            <c:numRef>
              <c:f>(Dashboard!$L$42:$L$43,Dashboard!$L$47,Dashboard!$L$51:$L$52)</c:f>
              <c:numCache>
                <c:formatCode>\$#,##0;[Red]"($"#,##0\);\-</c:formatCode>
                <c:ptCount val="5"/>
                <c:pt idx="0">
                  <c:v>707000</c:v>
                </c:pt>
                <c:pt idx="1">
                  <c:v>0</c:v>
                </c:pt>
                <c:pt idx="2">
                  <c:v>65000</c:v>
                </c:pt>
                <c:pt idx="3">
                  <c:v>77000</c:v>
                </c:pt>
                <c:pt idx="4">
                  <c:v>733300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F9-498D-998E-E49D3F17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6"/>
        <c:holeSize val="50"/>
      </c:doughnutChart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F6EAEA"/>
        </a:gs>
        <a:gs pos="0">
          <a:srgbClr val="95ACEA"/>
        </a:gs>
        <a:gs pos="0">
          <a:srgbClr val="F6EAEA"/>
        </a:gs>
        <a:gs pos="100000">
          <a:srgbClr val="F6EAEA">
            <a:alpha val="6000"/>
            <a:lumMod val="6000"/>
            <a:lumOff val="94000"/>
          </a:srgbClr>
        </a:gs>
      </a:gsLst>
      <a:lin ang="16200000"/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FFFFFF"/>
                </a:solidFill>
                <a:uFillTx/>
                <a:latin typeface="Calibri"/>
              </a:rPr>
              <a:t> Cash Flow (Operations)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1292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(Dashboard!$F$66:$F$68,Dashboard!$F$71:$F$81)</c:f>
              <c:strCache>
                <c:ptCount val="14"/>
                <c:pt idx="0">
                  <c:v> Provided consulting services </c:v>
                </c:pt>
                <c:pt idx="1">
                  <c:v> Received payment on account </c:v>
                </c:pt>
                <c:pt idx="2">
                  <c:v> Sold goods for cash </c:v>
                </c:pt>
                <c:pt idx="3">
                  <c:v> Paid Rent </c:v>
                </c:pt>
                <c:pt idx="4">
                  <c:v> Paid salaries </c:v>
                </c:pt>
                <c:pt idx="5">
                  <c:v> Paid utilities </c:v>
                </c:pt>
                <c:pt idx="6">
                  <c:v> Paid advertising </c:v>
                </c:pt>
                <c:pt idx="7">
                  <c:v> Paid supplier </c:v>
                </c:pt>
                <c:pt idx="8">
                  <c:v> Paid travel expenses </c:v>
                </c:pt>
                <c:pt idx="9">
                  <c:v> Paid insurance </c:v>
                </c:pt>
                <c:pt idx="10">
                  <c:v> Paid office supplies </c:v>
                </c:pt>
                <c:pt idx="11">
                  <c:v> Paid taxes </c:v>
                </c:pt>
                <c:pt idx="12">
                  <c:v> Paid repairs </c:v>
                </c:pt>
                <c:pt idx="13">
                  <c:v> Paid interest on loan </c:v>
                </c:pt>
              </c:strCache>
            </c:strRef>
          </c:cat>
          <c:val>
            <c:numRef>
              <c:f>(Dashboard!$G$66:$G$68,Dashboard!$G$71:$G$81)</c:f>
              <c:numCache>
                <c:formatCode>\$#,##0;[Red]"($"#,##0\);\-</c:formatCode>
                <c:ptCount val="14"/>
                <c:pt idx="0">
                  <c:v>73000</c:v>
                </c:pt>
                <c:pt idx="1">
                  <c:v>287000</c:v>
                </c:pt>
                <c:pt idx="2">
                  <c:v>190000</c:v>
                </c:pt>
                <c:pt idx="3">
                  <c:v>63500</c:v>
                </c:pt>
                <c:pt idx="4">
                  <c:v>72500</c:v>
                </c:pt>
                <c:pt idx="5">
                  <c:v>24000</c:v>
                </c:pt>
                <c:pt idx="6">
                  <c:v>14500</c:v>
                </c:pt>
                <c:pt idx="7">
                  <c:v>0</c:v>
                </c:pt>
                <c:pt idx="8">
                  <c:v>1000</c:v>
                </c:pt>
                <c:pt idx="9">
                  <c:v>6000</c:v>
                </c:pt>
                <c:pt idx="10">
                  <c:v>1700</c:v>
                </c:pt>
                <c:pt idx="11">
                  <c:v>3000</c:v>
                </c:pt>
                <c:pt idx="12">
                  <c:v>1500</c:v>
                </c:pt>
                <c:pt idx="13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F-46B5-888D-CDCA9BA86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98869565"/>
        <c:axId val="71742956"/>
      </c:barChart>
      <c:catAx>
        <c:axId val="9886956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742956"/>
        <c:crosses val="autoZero"/>
        <c:auto val="1"/>
        <c:lblAlgn val="ctr"/>
        <c:lblOffset val="100"/>
        <c:noMultiLvlLbl val="0"/>
      </c:catAx>
      <c:valAx>
        <c:axId val="71742956"/>
        <c:scaling>
          <c:orientation val="minMax"/>
        </c:scaling>
        <c:delete val="1"/>
        <c:axPos val="b"/>
        <c:numFmt formatCode="\$#,##0;[Red]&quot;($&quot;#,##0\);\-" sourceLinked="1"/>
        <c:majorTickMark val="none"/>
        <c:minorTickMark val="none"/>
        <c:tickLblPos val="nextTo"/>
        <c:crossAx val="988695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F6EAEA"/>
        </a:gs>
        <a:gs pos="0">
          <a:srgbClr val="95ACEA"/>
        </a:gs>
        <a:gs pos="0">
          <a:srgbClr val="F6EAEA"/>
        </a:gs>
        <a:gs pos="100000">
          <a:srgbClr val="F6EAEA">
            <a:alpha val="0"/>
            <a:lumMod val="6000"/>
            <a:lumOff val="94000"/>
          </a:srgbClr>
        </a:gs>
      </a:gsLst>
      <a:lin ang="16200000"/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Net Cash (Investing)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1292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(Dashboard!$F$87,Dashboard!$F$90)</c:f>
              <c:strCache>
                <c:ptCount val="2"/>
                <c:pt idx="0">
                  <c:v> Received dividend income </c:v>
                </c:pt>
                <c:pt idx="1">
                  <c:v> Purchased equipment </c:v>
                </c:pt>
              </c:strCache>
            </c:strRef>
          </c:cat>
          <c:val>
            <c:numRef>
              <c:f>(Dashboard!$G$87,Dashboard!$G$90)</c:f>
              <c:numCache>
                <c:formatCode>\$#,##0;[Red]"($"#,##0\);\-</c:formatCode>
                <c:ptCount val="2"/>
                <c:pt idx="0">
                  <c:v>7000</c:v>
                </c:pt>
                <c:pt idx="1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F-414C-9947-8B0FF6245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96800"/>
        <c:axId val="1395895"/>
      </c:barChart>
      <c:catAx>
        <c:axId val="75396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395895"/>
        <c:crosses val="autoZero"/>
        <c:auto val="1"/>
        <c:lblAlgn val="ctr"/>
        <c:lblOffset val="100"/>
        <c:noMultiLvlLbl val="0"/>
      </c:catAx>
      <c:valAx>
        <c:axId val="1395895"/>
        <c:scaling>
          <c:orientation val="minMax"/>
        </c:scaling>
        <c:delete val="1"/>
        <c:axPos val="l"/>
        <c:numFmt formatCode="\$#,##0;[Red]&quot;($&quot;#,##0\);\-" sourceLinked="1"/>
        <c:majorTickMark val="none"/>
        <c:minorTickMark val="none"/>
        <c:tickLblPos val="nextTo"/>
        <c:crossAx val="753968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BBC8F1"/>
        </a:gs>
        <a:gs pos="0">
          <a:srgbClr val="95ACEA"/>
        </a:gs>
        <a:gs pos="0">
          <a:srgbClr val="F6EAEA"/>
        </a:gs>
        <a:gs pos="100000">
          <a:srgbClr val="F6EAEA">
            <a:alpha val="0"/>
            <a:lumMod val="6000"/>
            <a:lumOff val="94000"/>
          </a:srgbClr>
        </a:gs>
      </a:gsLst>
      <a:lin ang="16200000"/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FFFFFF"/>
                </a:solidFill>
                <a:uFillTx/>
                <a:latin typeface="Calibri"/>
              </a:rPr>
              <a:t>Trial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104888692489239E-2"/>
          <c:y val="8.227821015988987E-2"/>
          <c:w val="0.94913591895241134"/>
          <c:h val="0.666858689855708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Dashboard!$G$107</c:f>
              <c:strCache>
                <c:ptCount val="1"/>
                <c:pt idx="0">
                  <c:v> Debits </c:v>
                </c:pt>
              </c:strCache>
            </c:strRef>
          </c:tx>
          <c:spPr>
            <a:solidFill>
              <a:srgbClr val="51292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Dashboard!$D$108:$D$134</c:f>
              <c:strCache>
                <c:ptCount val="24"/>
                <c:pt idx="0">
                  <c:v>Cash</c:v>
                </c:pt>
                <c:pt idx="1">
                  <c:v>Accounts Receivable</c:v>
                </c:pt>
                <c:pt idx="2">
                  <c:v>Inventory</c:v>
                </c:pt>
                <c:pt idx="3">
                  <c:v>Equipment</c:v>
                </c:pt>
                <c:pt idx="4">
                  <c:v>Accumulated Depreciation</c:v>
                </c:pt>
                <c:pt idx="5">
                  <c:v>Accounts Payable</c:v>
                </c:pt>
                <c:pt idx="6">
                  <c:v>Bank Loan</c:v>
                </c:pt>
                <c:pt idx="7">
                  <c:v>Common Stock</c:v>
                </c:pt>
                <c:pt idx="8">
                  <c:v>Sales Revenue</c:v>
                </c:pt>
                <c:pt idx="9">
                  <c:v>Consulting Revenue</c:v>
                </c:pt>
                <c:pt idx="10">
                  <c:v>Service Revenue</c:v>
                </c:pt>
                <c:pt idx="11">
                  <c:v>Dividend Income</c:v>
                </c:pt>
                <c:pt idx="12">
                  <c:v>Cost of Goods Sold</c:v>
                </c:pt>
                <c:pt idx="13">
                  <c:v>Salaries Expense</c:v>
                </c:pt>
                <c:pt idx="14">
                  <c:v>Rent Expense</c:v>
                </c:pt>
                <c:pt idx="15">
                  <c:v>Utilities Expense</c:v>
                </c:pt>
                <c:pt idx="16">
                  <c:v>Advertising Expense</c:v>
                </c:pt>
                <c:pt idx="17">
                  <c:v>Travel Expense</c:v>
                </c:pt>
                <c:pt idx="18">
                  <c:v>Insurance Expense</c:v>
                </c:pt>
                <c:pt idx="19">
                  <c:v>Office Supplies Expense</c:v>
                </c:pt>
                <c:pt idx="20">
                  <c:v>Tax Expense</c:v>
                </c:pt>
                <c:pt idx="21">
                  <c:v>Repairs Expense</c:v>
                </c:pt>
                <c:pt idx="22">
                  <c:v>Interest Expense</c:v>
                </c:pt>
                <c:pt idx="23">
                  <c:v>Depreciation Expense</c:v>
                </c:pt>
              </c:strCache>
            </c:strRef>
          </c:cat>
          <c:val>
            <c:numRef>
              <c:f>Dashboard!$G$108:$G$134</c:f>
              <c:numCache>
                <c:formatCode>_([$$-409]* #,##0.00_);_([$$-409]* \(#,##0.00\);_([$$-409]* \-??_);_(@_)</c:formatCode>
                <c:ptCount val="27"/>
                <c:pt idx="0">
                  <c:v>1746500</c:v>
                </c:pt>
                <c:pt idx="1">
                  <c:v>1183000</c:v>
                </c:pt>
                <c:pt idx="2">
                  <c:v>707000</c:v>
                </c:pt>
                <c:pt idx="3">
                  <c:v>42500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582000</c:v>
                </c:pt>
                <c:pt idx="13">
                  <c:v>215000</c:v>
                </c:pt>
                <c:pt idx="14">
                  <c:v>175000</c:v>
                </c:pt>
                <c:pt idx="15">
                  <c:v>71000</c:v>
                </c:pt>
                <c:pt idx="16">
                  <c:v>47000</c:v>
                </c:pt>
                <c:pt idx="17">
                  <c:v>7500</c:v>
                </c:pt>
                <c:pt idx="18">
                  <c:v>13000</c:v>
                </c:pt>
                <c:pt idx="19">
                  <c:v>4100</c:v>
                </c:pt>
                <c:pt idx="20">
                  <c:v>10500</c:v>
                </c:pt>
                <c:pt idx="21">
                  <c:v>5500</c:v>
                </c:pt>
                <c:pt idx="22">
                  <c:v>36000</c:v>
                </c:pt>
                <c:pt idx="23">
                  <c:v>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5-489B-B123-6CE1FAF0002A}"/>
            </c:ext>
          </c:extLst>
        </c:ser>
        <c:ser>
          <c:idx val="1"/>
          <c:order val="1"/>
          <c:tx>
            <c:strRef>
              <c:f>Dashboard!$H$107</c:f>
              <c:strCache>
                <c:ptCount val="1"/>
                <c:pt idx="0">
                  <c:v> Credits </c:v>
                </c:pt>
              </c:strCache>
            </c:strRef>
          </c:tx>
          <c:spPr>
            <a:solidFill>
              <a:srgbClr val="C1999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Dashboard!$D$108:$D$134</c:f>
              <c:strCache>
                <c:ptCount val="24"/>
                <c:pt idx="0">
                  <c:v>Cash</c:v>
                </c:pt>
                <c:pt idx="1">
                  <c:v>Accounts Receivable</c:v>
                </c:pt>
                <c:pt idx="2">
                  <c:v>Inventory</c:v>
                </c:pt>
                <c:pt idx="3">
                  <c:v>Equipment</c:v>
                </c:pt>
                <c:pt idx="4">
                  <c:v>Accumulated Depreciation</c:v>
                </c:pt>
                <c:pt idx="5">
                  <c:v>Accounts Payable</c:v>
                </c:pt>
                <c:pt idx="6">
                  <c:v>Bank Loan</c:v>
                </c:pt>
                <c:pt idx="7">
                  <c:v>Common Stock</c:v>
                </c:pt>
                <c:pt idx="8">
                  <c:v>Sales Revenue</c:v>
                </c:pt>
                <c:pt idx="9">
                  <c:v>Consulting Revenue</c:v>
                </c:pt>
                <c:pt idx="10">
                  <c:v>Service Revenue</c:v>
                </c:pt>
                <c:pt idx="11">
                  <c:v>Dividend Income</c:v>
                </c:pt>
                <c:pt idx="12">
                  <c:v>Cost of Goods Sold</c:v>
                </c:pt>
                <c:pt idx="13">
                  <c:v>Salaries Expense</c:v>
                </c:pt>
                <c:pt idx="14">
                  <c:v>Rent Expense</c:v>
                </c:pt>
                <c:pt idx="15">
                  <c:v>Utilities Expense</c:v>
                </c:pt>
                <c:pt idx="16">
                  <c:v>Advertising Expense</c:v>
                </c:pt>
                <c:pt idx="17">
                  <c:v>Travel Expense</c:v>
                </c:pt>
                <c:pt idx="18">
                  <c:v>Insurance Expense</c:v>
                </c:pt>
                <c:pt idx="19">
                  <c:v>Office Supplies Expense</c:v>
                </c:pt>
                <c:pt idx="20">
                  <c:v>Tax Expense</c:v>
                </c:pt>
                <c:pt idx="21">
                  <c:v>Repairs Expense</c:v>
                </c:pt>
                <c:pt idx="22">
                  <c:v>Interest Expense</c:v>
                </c:pt>
                <c:pt idx="23">
                  <c:v>Depreciation Expense</c:v>
                </c:pt>
              </c:strCache>
            </c:strRef>
          </c:cat>
          <c:val>
            <c:numRef>
              <c:f>Dashboard!$H$108:$H$134</c:f>
              <c:numCache>
                <c:formatCode>_([$$-409]* #,##0.00_);_([$$-409]* \(#,##0.00\);_([$$-409]* \-??_);_(@_)</c:formatCode>
                <c:ptCount val="27"/>
                <c:pt idx="0">
                  <c:v>627100</c:v>
                </c:pt>
                <c:pt idx="1">
                  <c:v>857000</c:v>
                </c:pt>
                <c:pt idx="2">
                  <c:v>582000</c:v>
                </c:pt>
                <c:pt idx="3">
                  <c:v>0</c:v>
                </c:pt>
                <c:pt idx="4">
                  <c:v>30600</c:v>
                </c:pt>
                <c:pt idx="5">
                  <c:v>707000</c:v>
                </c:pt>
                <c:pt idx="6">
                  <c:v>65000</c:v>
                </c:pt>
                <c:pt idx="7">
                  <c:v>77000</c:v>
                </c:pt>
                <c:pt idx="8">
                  <c:v>1393000</c:v>
                </c:pt>
                <c:pt idx="9">
                  <c:v>201000</c:v>
                </c:pt>
                <c:pt idx="10">
                  <c:v>317000</c:v>
                </c:pt>
                <c:pt idx="11">
                  <c:v>19500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5-489B-B123-6CE1FAF00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27184"/>
        <c:axId val="15358441"/>
      </c:barChart>
      <c:catAx>
        <c:axId val="22627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358441"/>
        <c:crosses val="autoZero"/>
        <c:auto val="1"/>
        <c:lblAlgn val="ctr"/>
        <c:lblOffset val="100"/>
        <c:noMultiLvlLbl val="0"/>
      </c:catAx>
      <c:valAx>
        <c:axId val="1535844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226271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BBC8F1"/>
        </a:gs>
        <a:gs pos="0">
          <a:srgbClr val="95ACEA"/>
        </a:gs>
        <a:gs pos="0">
          <a:srgbClr val="F6EAEA"/>
        </a:gs>
        <a:gs pos="100000">
          <a:srgbClr val="F6EAEA">
            <a:alpha val="0"/>
            <a:lumMod val="6000"/>
            <a:lumOff val="94000"/>
          </a:srgbClr>
        </a:gs>
      </a:gsLst>
      <a:lin ang="16200000"/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Expenses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452323"/>
              </a:solidFill>
            </a:defRPr>
          </a:pPr>
          <a:r>
            <a:rPr lang="en-US" sz="1400" b="1" i="0" u="none" strike="noStrike" baseline="0">
              <a:solidFill>
                <a:srgbClr val="452323"/>
              </a:solidFill>
              <a:latin typeface="Calibri" panose="020F0502020204030204"/>
            </a:rPr>
            <a:t>Expenses</a:t>
          </a:r>
        </a:p>
      </cx:txPr>
    </cx:title>
    <cx:plotArea>
      <cx:plotAreaRegion>
        <cx:series layoutId="clusteredColumn" uniqueId="{C974D160-8283-4B9C-AAE9-78BA30562AAE}">
          <cx:spPr>
            <a:solidFill>
              <a:srgbClr val="452323"/>
            </a:solidFill>
          </cx:spPr>
          <cx:dataLabels>
            <cx:numFmt formatCode="0.0,&quot;K&quot;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</a:defRPr>
                </a:pPr>
                <a:endParaRPr lang="en-US" sz="9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41612225-3084-4FF0-993B-0132E01070EE}">
          <cx:spPr>
            <a:solidFill>
              <a:srgbClr val="452323"/>
            </a:solidFill>
            <a:ln w="6350">
              <a:solidFill>
                <a:srgbClr val="452323"/>
              </a:solidFill>
            </a:ln>
          </cx:spPr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  <cx:axis id="2" hidden="1">
        <cx:valScaling max="1" min="0"/>
        <cx:units unit="percentage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396720</xdr:colOff>
      <xdr:row>57</xdr:row>
      <xdr:rowOff>189360</xdr:rowOff>
    </xdr:from>
    <xdr:to>
      <xdr:col>19</xdr:col>
      <xdr:colOff>501840</xdr:colOff>
      <xdr:row>78</xdr:row>
      <xdr:rowOff>168480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523800</xdr:colOff>
      <xdr:row>8</xdr:row>
      <xdr:rowOff>11880</xdr:rowOff>
    </xdr:from>
    <xdr:to>
      <xdr:col>14</xdr:col>
      <xdr:colOff>27720</xdr:colOff>
      <xdr:row>32</xdr:row>
      <xdr:rowOff>9720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27720</xdr:colOff>
      <xdr:row>8</xdr:row>
      <xdr:rowOff>13320</xdr:rowOff>
    </xdr:from>
    <xdr:to>
      <xdr:col>21</xdr:col>
      <xdr:colOff>294675</xdr:colOff>
      <xdr:row>22</xdr:row>
      <xdr:rowOff>26280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539640</xdr:colOff>
      <xdr:row>36</xdr:row>
      <xdr:rowOff>179920</xdr:rowOff>
    </xdr:from>
    <xdr:to>
      <xdr:col>20</xdr:col>
      <xdr:colOff>560160</xdr:colOff>
      <xdr:row>54</xdr:row>
      <xdr:rowOff>200510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560880</xdr:colOff>
      <xdr:row>37</xdr:row>
      <xdr:rowOff>220</xdr:rowOff>
    </xdr:from>
    <xdr:to>
      <xdr:col>27</xdr:col>
      <xdr:colOff>579600</xdr:colOff>
      <xdr:row>54</xdr:row>
      <xdr:rowOff>212390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417960</xdr:colOff>
      <xdr:row>57</xdr:row>
      <xdr:rowOff>189360</xdr:rowOff>
    </xdr:from>
    <xdr:to>
      <xdr:col>12</xdr:col>
      <xdr:colOff>417240</xdr:colOff>
      <xdr:row>99</xdr:row>
      <xdr:rowOff>189720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396720</xdr:colOff>
      <xdr:row>78</xdr:row>
      <xdr:rowOff>168120</xdr:rowOff>
    </xdr:from>
    <xdr:to>
      <xdr:col>19</xdr:col>
      <xdr:colOff>501840</xdr:colOff>
      <xdr:row>99</xdr:row>
      <xdr:rowOff>188640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354600</xdr:colOff>
      <xdr:row>104</xdr:row>
      <xdr:rowOff>84600</xdr:rowOff>
    </xdr:from>
    <xdr:to>
      <xdr:col>19</xdr:col>
      <xdr:colOff>549720</xdr:colOff>
      <xdr:row>134</xdr:row>
      <xdr:rowOff>20520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37040</xdr:colOff>
      <xdr:row>21</xdr:row>
      <xdr:rowOff>20108</xdr:rowOff>
    </xdr:from>
    <xdr:to>
      <xdr:col>22</xdr:col>
      <xdr:colOff>238124</xdr:colOff>
      <xdr:row>35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4D48CE57-4471-5FEA-5517-571B767365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86715" y="4401608"/>
              <a:ext cx="4563534" cy="27421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884464</xdr:colOff>
      <xdr:row>0</xdr:row>
      <xdr:rowOff>423522</xdr:rowOff>
    </xdr:from>
    <xdr:to>
      <xdr:col>4</xdr:col>
      <xdr:colOff>830035</xdr:colOff>
      <xdr:row>2</xdr:row>
      <xdr:rowOff>71437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65CFDF8-D099-4F15-95BC-F54D95E91563}"/>
            </a:ext>
          </a:extLst>
        </xdr:cNvPr>
        <xdr:cNvSpPr/>
      </xdr:nvSpPr>
      <xdr:spPr>
        <a:xfrm>
          <a:off x="3075214" y="423522"/>
          <a:ext cx="2183946" cy="290853"/>
        </a:xfrm>
        <a:prstGeom prst="roundRect">
          <a:avLst/>
        </a:prstGeom>
        <a:solidFill>
          <a:srgbClr val="51292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PROFIT &amp; LOSS</a:t>
          </a:r>
        </a:p>
        <a:p>
          <a:pPr algn="ctr"/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1837531</xdr:colOff>
      <xdr:row>0</xdr:row>
      <xdr:rowOff>422672</xdr:rowOff>
    </xdr:from>
    <xdr:to>
      <xdr:col>5</xdr:col>
      <xdr:colOff>1818820</xdr:colOff>
      <xdr:row>2</xdr:row>
      <xdr:rowOff>83343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55B3B27-B9DD-4AFF-829C-48499DFC65CE}"/>
            </a:ext>
          </a:extLst>
        </xdr:cNvPr>
        <xdr:cNvSpPr/>
      </xdr:nvSpPr>
      <xdr:spPr>
        <a:xfrm>
          <a:off x="6266656" y="422672"/>
          <a:ext cx="2195852" cy="303609"/>
        </a:xfrm>
        <a:prstGeom prst="roundRect">
          <a:avLst/>
        </a:prstGeom>
        <a:solidFill>
          <a:srgbClr val="51292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BALANCE SHEET</a:t>
          </a:r>
        </a:p>
        <a:p>
          <a:pPr algn="ctr"/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957035</xdr:colOff>
      <xdr:row>0</xdr:row>
      <xdr:rowOff>422672</xdr:rowOff>
    </xdr:from>
    <xdr:to>
      <xdr:col>9</xdr:col>
      <xdr:colOff>242660</xdr:colOff>
      <xdr:row>2</xdr:row>
      <xdr:rowOff>59531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1E77C53-0F22-4A17-8999-244628630C92}"/>
            </a:ext>
          </a:extLst>
        </xdr:cNvPr>
        <xdr:cNvSpPr/>
      </xdr:nvSpPr>
      <xdr:spPr>
        <a:xfrm>
          <a:off x="9470004" y="422672"/>
          <a:ext cx="2178844" cy="279797"/>
        </a:xfrm>
        <a:prstGeom prst="roundRect">
          <a:avLst/>
        </a:prstGeom>
        <a:solidFill>
          <a:srgbClr val="51292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CASH FLOW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1250156</xdr:colOff>
      <xdr:row>0</xdr:row>
      <xdr:rowOff>422672</xdr:rowOff>
    </xdr:from>
    <xdr:to>
      <xdr:col>11</xdr:col>
      <xdr:colOff>682058</xdr:colOff>
      <xdr:row>2</xdr:row>
      <xdr:rowOff>83343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5183FA8-75F5-4BC0-9FF5-C23EA69F1934}"/>
            </a:ext>
          </a:extLst>
        </xdr:cNvPr>
        <xdr:cNvSpPr/>
      </xdr:nvSpPr>
      <xdr:spPr>
        <a:xfrm>
          <a:off x="12656344" y="422672"/>
          <a:ext cx="2170339" cy="303609"/>
        </a:xfrm>
        <a:prstGeom prst="roundRect">
          <a:avLst/>
        </a:prstGeom>
        <a:solidFill>
          <a:srgbClr val="51292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TRIAL BALANCE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customHeight="1" x14ac:dyDescent="0.25"/>
  <cols>
    <col min="1" max="1" width="28" customWidth="1"/>
    <col min="2" max="2" width="105" customWidth="1"/>
  </cols>
  <sheetData>
    <row r="1" spans="1:6" ht="19.5" customHeight="1" x14ac:dyDescent="0.3">
      <c r="A1" s="84" t="s">
        <v>0</v>
      </c>
      <c r="B1" s="84"/>
      <c r="C1" s="84"/>
      <c r="D1" s="84"/>
      <c r="E1" s="84"/>
      <c r="F1" s="84"/>
    </row>
    <row r="3" spans="1:6" ht="31.5" customHeight="1" x14ac:dyDescent="0.25">
      <c r="A3" s="1" t="s">
        <v>1</v>
      </c>
      <c r="B3" s="2" t="s">
        <v>2</v>
      </c>
    </row>
    <row r="4" spans="1:6" ht="31.5" customHeight="1" x14ac:dyDescent="0.25">
      <c r="A4" s="1" t="s">
        <v>3</v>
      </c>
      <c r="B4" s="2" t="s">
        <v>4</v>
      </c>
    </row>
    <row r="5" spans="1:6" ht="31.5" customHeight="1" x14ac:dyDescent="0.25">
      <c r="A5" s="1" t="s">
        <v>5</v>
      </c>
      <c r="B5" s="2" t="s">
        <v>6</v>
      </c>
    </row>
    <row r="6" spans="1:6" ht="31.5" customHeight="1" x14ac:dyDescent="0.25">
      <c r="A6" s="1" t="s">
        <v>7</v>
      </c>
      <c r="B6" s="2" t="s">
        <v>8</v>
      </c>
    </row>
    <row r="7" spans="1:6" ht="31.5" customHeight="1" x14ac:dyDescent="0.25">
      <c r="A7" s="1" t="s">
        <v>9</v>
      </c>
      <c r="B7" s="2" t="s">
        <v>10</v>
      </c>
    </row>
    <row r="8" spans="1:6" ht="43.5" customHeight="1" x14ac:dyDescent="0.25">
      <c r="A8" s="1" t="s">
        <v>11</v>
      </c>
      <c r="B8" s="2" t="s">
        <v>12</v>
      </c>
    </row>
    <row r="9" spans="1:6" ht="43.5" customHeight="1" x14ac:dyDescent="0.25">
      <c r="A9" s="1" t="s">
        <v>13</v>
      </c>
      <c r="B9" s="2" t="s">
        <v>14</v>
      </c>
    </row>
    <row r="10" spans="1:6" ht="31.5" customHeight="1" x14ac:dyDescent="0.25">
      <c r="A10" s="1" t="s">
        <v>15</v>
      </c>
      <c r="B10" s="2" t="s">
        <v>16</v>
      </c>
    </row>
    <row r="11" spans="1:6" ht="43.5" customHeight="1" x14ac:dyDescent="0.25">
      <c r="A11" s="1" t="s">
        <v>17</v>
      </c>
      <c r="B11" s="2" t="s">
        <v>18</v>
      </c>
    </row>
    <row r="12" spans="1:6" ht="36" customHeight="1" x14ac:dyDescent="0.25">
      <c r="A12" s="1" t="s">
        <v>19</v>
      </c>
      <c r="B12" s="2" t="s">
        <v>20</v>
      </c>
    </row>
    <row r="13" spans="1:6" ht="31.5" customHeight="1" x14ac:dyDescent="0.25">
      <c r="A13" s="1" t="s">
        <v>21</v>
      </c>
      <c r="B13" s="2"/>
    </row>
    <row r="14" spans="1:6" ht="31.5" customHeight="1" x14ac:dyDescent="0.25">
      <c r="A14" s="1" t="s">
        <v>22</v>
      </c>
      <c r="B14" s="2" t="s">
        <v>23</v>
      </c>
    </row>
    <row r="15" spans="1:6" ht="31.5" customHeight="1" x14ac:dyDescent="0.25">
      <c r="A15" s="1" t="s">
        <v>24</v>
      </c>
      <c r="B15" s="2" t="s">
        <v>25</v>
      </c>
    </row>
    <row r="16" spans="1:6" ht="31.5" customHeight="1" x14ac:dyDescent="0.25">
      <c r="A16" s="1" t="s">
        <v>26</v>
      </c>
      <c r="B16" s="2" t="s">
        <v>27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7109375" defaultRowHeight="15" customHeight="1" x14ac:dyDescent="0.25"/>
  <cols>
    <col min="1" max="1" width="32" customWidth="1"/>
    <col min="2" max="2" width="22" customWidth="1"/>
    <col min="3" max="3" width="16" customWidth="1"/>
    <col min="4" max="4" width="80" customWidth="1"/>
  </cols>
  <sheetData>
    <row r="1" spans="1:4" ht="18" customHeight="1" x14ac:dyDescent="0.25">
      <c r="A1" s="85" t="s">
        <v>28</v>
      </c>
      <c r="B1" s="85"/>
      <c r="C1" s="85"/>
      <c r="D1" s="85"/>
    </row>
    <row r="3" spans="1:4" ht="15" customHeight="1" x14ac:dyDescent="0.25">
      <c r="A3" s="3" t="s">
        <v>29</v>
      </c>
      <c r="B3" s="3" t="s">
        <v>30</v>
      </c>
      <c r="C3" s="3" t="s">
        <v>31</v>
      </c>
      <c r="D3" s="3" t="s">
        <v>1</v>
      </c>
    </row>
    <row r="4" spans="1:4" ht="30" customHeight="1" x14ac:dyDescent="0.25">
      <c r="A4" s="2" t="s">
        <v>32</v>
      </c>
      <c r="B4" s="4" t="str">
        <f>IF(COUNTIF(Data!$I$2:$I$1141,"&lt;&gt;0")=0,"PASS","CHECK")</f>
        <v>PASS</v>
      </c>
      <c r="C4" s="2" t="s">
        <v>33</v>
      </c>
      <c r="D4" s="2" t="s">
        <v>34</v>
      </c>
    </row>
    <row r="5" spans="1:4" ht="30" customHeight="1" x14ac:dyDescent="0.25">
      <c r="A5" s="2" t="s">
        <v>35</v>
      </c>
      <c r="B5" s="4" t="str">
        <f>IF(ABS(Dashboard!G135-Dashboard!H135)&lt;0.01,"PASS","CHECK")</f>
        <v>PASS</v>
      </c>
      <c r="C5" s="2" t="s">
        <v>33</v>
      </c>
      <c r="D5" s="2" t="s">
        <v>36</v>
      </c>
    </row>
    <row r="6" spans="1:4" ht="30" customHeight="1" x14ac:dyDescent="0.25">
      <c r="A6" s="2" t="s">
        <v>37</v>
      </c>
      <c r="B6" s="4" t="str">
        <f>IF(ABS(Dashboard!F55-Dashboard!L55)&lt;0.01,"PASS","CHECK")</f>
        <v>PASS</v>
      </c>
      <c r="C6" s="2" t="s">
        <v>33</v>
      </c>
      <c r="D6" s="2" t="s">
        <v>38</v>
      </c>
    </row>
    <row r="7" spans="1:4" ht="30" customHeight="1" x14ac:dyDescent="0.25">
      <c r="A7" s="2" t="s">
        <v>39</v>
      </c>
      <c r="B7" s="4" t="str">
        <f>IF(ABS(Dashboard!H103-Dashboard!F42)&lt;0.01,"PASS","CHECK")</f>
        <v>PASS</v>
      </c>
      <c r="C7" s="2" t="s">
        <v>33</v>
      </c>
      <c r="D7" s="2" t="s">
        <v>40</v>
      </c>
    </row>
    <row r="8" spans="1:4" ht="30" customHeight="1" x14ac:dyDescent="0.25">
      <c r="A8" s="2" t="s">
        <v>41</v>
      </c>
      <c r="B8" s="4" t="str">
        <f>IF(ABS(Dashboard!H102-(Dashboard!H83+Dashboard!H92+Dashboard!H101))&lt;0.01,"PASS","CHECK")</f>
        <v>PASS</v>
      </c>
      <c r="C8" s="2" t="s">
        <v>33</v>
      </c>
      <c r="D8" s="2" t="s">
        <v>42</v>
      </c>
    </row>
    <row r="9" spans="1:4" ht="30" customHeight="1" x14ac:dyDescent="0.25">
      <c r="A9" s="2" t="s">
        <v>43</v>
      </c>
      <c r="B9" s="4" t="str">
        <f>IF(SUMPRODUCT((Data!$E$2:$E$1141&lt;&gt;"")*(Data!$D$2:$D$1141&lt;&gt;"Cash"))=0,"PASS","CHECK")</f>
        <v>PASS</v>
      </c>
      <c r="C9" s="2" t="s">
        <v>33</v>
      </c>
      <c r="D9" s="2" t="s">
        <v>44</v>
      </c>
    </row>
    <row r="12" spans="1:4" ht="15" customHeight="1" x14ac:dyDescent="0.25">
      <c r="A12" s="5" t="s">
        <v>45</v>
      </c>
    </row>
    <row r="13" spans="1:4" ht="15" customHeight="1" x14ac:dyDescent="0.25">
      <c r="A13" s="3" t="s">
        <v>46</v>
      </c>
      <c r="B13" s="3" t="s">
        <v>47</v>
      </c>
      <c r="C13" s="3" t="s">
        <v>48</v>
      </c>
    </row>
    <row r="14" spans="1:4" ht="15" customHeight="1" x14ac:dyDescent="0.25">
      <c r="A14" s="6">
        <f>DATE(Dashboard!$N$2,1,1)</f>
        <v>45658</v>
      </c>
      <c r="B14" s="7">
        <f>COUNTIFS(Data!$A:$A,"&gt;="&amp;A14,Data!$A:$A,"&lt;"&amp;EDATE(A14,1))</f>
        <v>32</v>
      </c>
      <c r="C14" s="7" t="str">
        <f t="shared" ref="C14:C25" si="0">IF(B14&gt;0,"PASS","MISSING")</f>
        <v>PASS</v>
      </c>
    </row>
    <row r="15" spans="1:4" ht="15" customHeight="1" x14ac:dyDescent="0.25">
      <c r="A15" s="6">
        <f t="shared" ref="A15:A25" si="1">EDATE(A14,1)</f>
        <v>45689</v>
      </c>
      <c r="B15" s="7">
        <f>COUNTIFS(Data!$A:$A,"&gt;="&amp;A15,Data!$A:$A,"&lt;"&amp;EDATE(A15,1))</f>
        <v>30</v>
      </c>
      <c r="C15" s="7" t="str">
        <f t="shared" si="0"/>
        <v>PASS</v>
      </c>
    </row>
    <row r="16" spans="1:4" ht="15" customHeight="1" x14ac:dyDescent="0.25">
      <c r="A16" s="6">
        <f t="shared" si="1"/>
        <v>45717</v>
      </c>
      <c r="B16" s="7">
        <f>COUNTIFS(Data!$A:$A,"&gt;="&amp;A16,Data!$A:$A,"&lt;"&amp;EDATE(A16,1))</f>
        <v>36</v>
      </c>
      <c r="C16" s="7" t="str">
        <f t="shared" si="0"/>
        <v>PASS</v>
      </c>
    </row>
    <row r="17" spans="1:4" ht="15" customHeight="1" x14ac:dyDescent="0.25">
      <c r="A17" s="6">
        <f t="shared" si="1"/>
        <v>45748</v>
      </c>
      <c r="B17" s="7">
        <f>COUNTIFS(Data!$A:$A,"&gt;="&amp;A17,Data!$A:$A,"&lt;"&amp;EDATE(A17,1))</f>
        <v>30</v>
      </c>
      <c r="C17" s="7" t="str">
        <f t="shared" si="0"/>
        <v>PASS</v>
      </c>
    </row>
    <row r="18" spans="1:4" ht="15" customHeight="1" x14ac:dyDescent="0.25">
      <c r="A18" s="6">
        <f t="shared" si="1"/>
        <v>45778</v>
      </c>
      <c r="B18" s="7">
        <f>COUNTIFS(Data!$A:$A,"&gt;="&amp;A18,Data!$A:$A,"&lt;"&amp;EDATE(A18,1))</f>
        <v>30</v>
      </c>
      <c r="C18" s="7" t="str">
        <f t="shared" si="0"/>
        <v>PASS</v>
      </c>
    </row>
    <row r="19" spans="1:4" ht="15" customHeight="1" x14ac:dyDescent="0.25">
      <c r="A19" s="6">
        <f t="shared" si="1"/>
        <v>45809</v>
      </c>
      <c r="B19" s="7">
        <f>COUNTIFS(Data!$A:$A,"&gt;="&amp;A19,Data!$A:$A,"&lt;"&amp;EDATE(A19,1))</f>
        <v>34</v>
      </c>
      <c r="C19" s="7" t="str">
        <f t="shared" si="0"/>
        <v>PASS</v>
      </c>
    </row>
    <row r="20" spans="1:4" ht="15" customHeight="1" x14ac:dyDescent="0.25">
      <c r="A20" s="6">
        <f t="shared" si="1"/>
        <v>45839</v>
      </c>
      <c r="B20" s="7">
        <f>COUNTIFS(Data!$A:$A,"&gt;="&amp;A20,Data!$A:$A,"&lt;"&amp;EDATE(A20,1))</f>
        <v>30</v>
      </c>
      <c r="C20" s="7" t="str">
        <f t="shared" si="0"/>
        <v>PASS</v>
      </c>
    </row>
    <row r="21" spans="1:4" ht="15" customHeight="1" x14ac:dyDescent="0.25">
      <c r="A21" s="6">
        <f t="shared" si="1"/>
        <v>45870</v>
      </c>
      <c r="B21" s="7">
        <f>COUNTIFS(Data!$A:$A,"&gt;="&amp;A21,Data!$A:$A,"&lt;"&amp;EDATE(A21,1))</f>
        <v>30</v>
      </c>
      <c r="C21" s="7" t="str">
        <f t="shared" si="0"/>
        <v>PASS</v>
      </c>
    </row>
    <row r="22" spans="1:4" ht="15" customHeight="1" x14ac:dyDescent="0.25">
      <c r="A22" s="6">
        <f t="shared" si="1"/>
        <v>45901</v>
      </c>
      <c r="B22" s="7">
        <f>COUNTIFS(Data!$A:$A,"&gt;="&amp;A22,Data!$A:$A,"&lt;"&amp;EDATE(A22,1))</f>
        <v>34</v>
      </c>
      <c r="C22" s="7" t="str">
        <f t="shared" si="0"/>
        <v>PASS</v>
      </c>
    </row>
    <row r="23" spans="1:4" ht="15" customHeight="1" x14ac:dyDescent="0.25">
      <c r="A23" s="6">
        <f t="shared" si="1"/>
        <v>45931</v>
      </c>
      <c r="B23" s="7">
        <f>COUNTIFS(Data!$A:$A,"&gt;="&amp;A23,Data!$A:$A,"&lt;"&amp;EDATE(A23,1))</f>
        <v>30</v>
      </c>
      <c r="C23" s="7" t="str">
        <f t="shared" si="0"/>
        <v>PASS</v>
      </c>
    </row>
    <row r="24" spans="1:4" ht="15" customHeight="1" x14ac:dyDescent="0.25">
      <c r="A24" s="6">
        <f t="shared" si="1"/>
        <v>45962</v>
      </c>
      <c r="B24" s="7">
        <f>COUNTIFS(Data!$A:$A,"&gt;="&amp;A24,Data!$A:$A,"&lt;"&amp;EDATE(A24,1))</f>
        <v>30</v>
      </c>
      <c r="C24" s="7" t="str">
        <f t="shared" si="0"/>
        <v>PASS</v>
      </c>
    </row>
    <row r="25" spans="1:4" ht="15" customHeight="1" x14ac:dyDescent="0.25">
      <c r="A25" s="6">
        <f t="shared" si="1"/>
        <v>45992</v>
      </c>
      <c r="B25" s="7">
        <f>COUNTIFS(Data!$A:$A,"&gt;="&amp;A25,Data!$A:$A,"&lt;"&amp;EDATE(A25,1))</f>
        <v>34</v>
      </c>
      <c r="C25" s="7" t="str">
        <f t="shared" si="0"/>
        <v>PASS</v>
      </c>
    </row>
    <row r="27" spans="1:4" ht="15" customHeight="1" x14ac:dyDescent="0.25">
      <c r="A27" s="8" t="s">
        <v>49</v>
      </c>
      <c r="B27" t="str">
        <f>IF(COUNTIF(C14:C25,"MISSING")=0,"PASS","CHECK")</f>
        <v>PASS</v>
      </c>
      <c r="C27" t="s">
        <v>33</v>
      </c>
      <c r="D27" t="s">
        <v>50</v>
      </c>
    </row>
    <row r="29" spans="1:4" ht="15" customHeight="1" x14ac:dyDescent="0.25">
      <c r="A29" s="8" t="s">
        <v>51</v>
      </c>
      <c r="B29">
        <f>Dashboard!N2</f>
        <v>2025</v>
      </c>
    </row>
    <row r="30" spans="1:4" ht="15" customHeight="1" x14ac:dyDescent="0.25">
      <c r="A30" s="8" t="s">
        <v>52</v>
      </c>
      <c r="B30">
        <f>COUNTIFS(Data!$A:$A,"&gt;="&amp;DATE(Dashboard!$N$2,1,1),Data!$A:$A,"&lt;"&amp;DATE(Dashboard!$N$2+1,1,1))</f>
        <v>380</v>
      </c>
    </row>
    <row r="31" spans="1:4" ht="15" customHeight="1" x14ac:dyDescent="0.25">
      <c r="A31" s="8" t="s">
        <v>53</v>
      </c>
      <c r="B31">
        <f>COUNTIFS(Data!$A:$A,"&gt;="&amp;DATE(Dashboard!$N$2,1,1),Data!$A:$A,"&lt;"&amp;DATE(Dashboard!$N$2+1,1,1))/2</f>
        <v>190</v>
      </c>
    </row>
  </sheetData>
  <mergeCells count="1">
    <mergeCell ref="A1:D1"/>
  </mergeCells>
  <conditionalFormatting sqref="B4:B9">
    <cfRule type="cellIs" dxfId="1" priority="2" operator="equal">
      <formula>"CHECK"</formula>
    </cfRule>
  </conditionalFormatting>
  <conditionalFormatting sqref="C14:C25">
    <cfRule type="cellIs" dxfId="0" priority="3" operator="equal">
      <formula>"MISSING"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36"/>
  <sheetViews>
    <sheetView showGridLines="0" tabSelected="1" topLeftCell="B102" zoomScale="80" zoomScaleNormal="80" workbookViewId="0">
      <selection activeCell="F137" sqref="F137"/>
    </sheetView>
  </sheetViews>
  <sheetFormatPr defaultColWidth="8.7109375" defaultRowHeight="15" customHeight="1" x14ac:dyDescent="0.25"/>
  <cols>
    <col min="1" max="1" width="10.140625" style="9" customWidth="1"/>
    <col min="2" max="2" width="14" style="9" customWidth="1"/>
    <col min="4" max="4" width="33.5703125" customWidth="1"/>
    <col min="5" max="5" width="33.28515625" customWidth="1"/>
    <col min="6" max="6" width="28" style="10" customWidth="1"/>
    <col min="7" max="8" width="15" style="10" customWidth="1"/>
    <col min="9" max="9" width="13.42578125" customWidth="1"/>
    <col min="10" max="10" width="22.85546875" customWidth="1"/>
    <col min="11" max="11" width="18.28515625" customWidth="1"/>
    <col min="12" max="12" width="14" customWidth="1"/>
    <col min="13" max="13" width="11.7109375" customWidth="1"/>
    <col min="22" max="22" width="4.42578125" customWidth="1"/>
  </cols>
  <sheetData>
    <row r="1" spans="1:34" s="11" customFormat="1" ht="34.5" customHeight="1" x14ac:dyDescent="0.65">
      <c r="E1" s="83" t="s">
        <v>54</v>
      </c>
      <c r="F1" s="83"/>
      <c r="G1" s="83"/>
      <c r="H1" s="83"/>
      <c r="I1" s="83"/>
      <c r="J1" s="83"/>
      <c r="K1" s="83"/>
      <c r="L1" s="83"/>
      <c r="M1" s="12"/>
      <c r="N1" s="12"/>
      <c r="O1" s="12"/>
      <c r="P1" s="12"/>
      <c r="Q1" s="12"/>
      <c r="R1" s="12"/>
    </row>
    <row r="2" spans="1:34" s="11" customFormat="1" ht="15.75" customHeight="1" x14ac:dyDescent="0.25">
      <c r="F2" s="13"/>
      <c r="G2" s="13"/>
      <c r="H2" s="13"/>
      <c r="M2" s="14" t="s">
        <v>55</v>
      </c>
      <c r="N2" s="15">
        <v>2025</v>
      </c>
    </row>
    <row r="3" spans="1:34" s="11" customFormat="1" ht="15.75" customHeight="1" x14ac:dyDescent="0.25">
      <c r="F3" s="13"/>
      <c r="G3" s="13"/>
      <c r="H3" s="13"/>
      <c r="M3" s="16"/>
      <c r="N3" s="17"/>
    </row>
    <row r="4" spans="1:34" s="11" customFormat="1" ht="15" customHeight="1" x14ac:dyDescent="0.25">
      <c r="A4" s="18" t="s">
        <v>56</v>
      </c>
      <c r="B4" s="19">
        <f>DATE(Year_Slected,1,1)</f>
        <v>45658</v>
      </c>
      <c r="F4" s="13"/>
      <c r="G4" s="13"/>
      <c r="H4" s="13"/>
    </row>
    <row r="5" spans="1:34" s="11" customFormat="1" ht="15" customHeight="1" x14ac:dyDescent="0.25">
      <c r="A5" s="18" t="s">
        <v>57</v>
      </c>
      <c r="B5" s="19">
        <f>DATE(Year_Slected,12,31)</f>
        <v>46022</v>
      </c>
      <c r="F5" s="13"/>
      <c r="G5" s="13"/>
      <c r="H5" s="13"/>
    </row>
    <row r="6" spans="1:34" ht="15" customHeight="1" x14ac:dyDescent="0.25">
      <c r="A6" s="20"/>
      <c r="B6" s="21"/>
    </row>
    <row r="7" spans="1:34" ht="18.75" customHeight="1" x14ac:dyDescent="0.3">
      <c r="A7" s="75"/>
      <c r="B7" s="75"/>
      <c r="C7" s="79" t="s">
        <v>58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22"/>
      <c r="P7" s="22"/>
      <c r="Q7" s="22"/>
      <c r="R7" s="22"/>
      <c r="S7" s="22"/>
      <c r="T7" s="22"/>
      <c r="U7" s="22"/>
      <c r="V7" s="22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</row>
    <row r="8" spans="1:34" ht="15.75" customHeight="1" x14ac:dyDescent="0.25">
      <c r="A8" s="75"/>
      <c r="B8" s="75"/>
      <c r="C8" s="80" t="str">
        <f>"FROM  "&amp;TEXT(Start_Date,"dd-mm-yyyy") &amp; "  To " &amp; TEXT(End_Date, "dd-mm-yyyy")</f>
        <v>FROM  01-01-2025  To 31-12-2025</v>
      </c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22"/>
      <c r="P8" s="22"/>
      <c r="Q8" s="22"/>
      <c r="R8" s="22"/>
      <c r="S8" s="22"/>
      <c r="T8" s="22"/>
      <c r="U8" s="22"/>
      <c r="V8" s="22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</row>
    <row r="9" spans="1:34" ht="18.75" customHeight="1" x14ac:dyDescent="0.3">
      <c r="D9" s="23" t="s">
        <v>59</v>
      </c>
    </row>
    <row r="10" spans="1:34" ht="15" customHeight="1" x14ac:dyDescent="0.25">
      <c r="D10" s="20" t="s">
        <v>60</v>
      </c>
    </row>
    <row r="11" spans="1:34" ht="15" customHeight="1" x14ac:dyDescent="0.25">
      <c r="E11" t="s">
        <v>61</v>
      </c>
      <c r="H11" s="24">
        <f>SUMIFS(Data!$G:$G,Data!$D:$D,E11,Data!$A:$A,"&gt;="&amp;Start_Date,Data!$A:$A,"&lt;="&amp;End_Date)-SUMIFS(Data!$F:$F,Data!$D:$D,E11,Data!$A:$A,"&gt;="&amp;Start_Date,Data!$A:$A,"&lt;="&amp;End_Date)</f>
        <v>73000</v>
      </c>
    </row>
    <row r="12" spans="1:34" ht="15" customHeight="1" x14ac:dyDescent="0.25">
      <c r="E12" t="s">
        <v>62</v>
      </c>
      <c r="H12" s="24">
        <f>SUMIFS(Data!$G:$G,Data!$D:$D,E12,Data!$A:$A,"&gt;="&amp;Start_Date,Data!$A:$A,"&lt;="&amp;End_Date)-SUMIFS(Data!$F:$F,Data!$D:$D,E12,Data!$A:$A,"&gt;="&amp;Start_Date,Data!$A:$A,"&lt;="&amp;End_Date)</f>
        <v>7000</v>
      </c>
    </row>
    <row r="13" spans="1:34" ht="15" customHeight="1" x14ac:dyDescent="0.25">
      <c r="E13" t="s">
        <v>63</v>
      </c>
      <c r="H13" s="24">
        <f>SUMIFS(Data!$G:$G,Data!$D:$D,E13,Data!$A:$A,"&gt;="&amp;Start_Date,Data!$A:$A,"&lt;="&amp;End_Date)-SUMIFS(Data!$F:$F,Data!$D:$D,E13,Data!$A:$A,"&gt;="&amp;Start_Date,Data!$A:$A,"&lt;="&amp;End_Date)</f>
        <v>485000</v>
      </c>
    </row>
    <row r="14" spans="1:34" ht="15" customHeight="1" x14ac:dyDescent="0.25">
      <c r="E14" t="s">
        <v>64</v>
      </c>
      <c r="H14" s="24">
        <f>SUMIFS(Data!$G:$G,Data!$D:$D,E14,Data!$A:$A,"&gt;="&amp;Start_Date,Data!$A:$A,"&lt;="&amp;End_Date)-SUMIFS(Data!$F:$F,Data!$D:$D,E14,Data!$A:$A,"&gt;="&amp;Start_Date,Data!$A:$A,"&lt;="&amp;End_Date)</f>
        <v>110000</v>
      </c>
      <c r="M14" s="25"/>
    </row>
    <row r="15" spans="1:34" ht="15" customHeight="1" x14ac:dyDescent="0.25">
      <c r="D15" s="26" t="s">
        <v>65</v>
      </c>
      <c r="E15" s="26"/>
      <c r="F15" s="27"/>
      <c r="G15" s="27"/>
      <c r="H15" s="28">
        <f>SUM(H11:H14)</f>
        <v>675000</v>
      </c>
    </row>
    <row r="16" spans="1:34" ht="15" customHeight="1" x14ac:dyDescent="0.25">
      <c r="D16" s="20" t="s">
        <v>66</v>
      </c>
      <c r="E16" s="20"/>
      <c r="F16" s="29"/>
      <c r="G16" s="29"/>
      <c r="H16" s="29"/>
    </row>
    <row r="17" spans="4:13" ht="15" customHeight="1" x14ac:dyDescent="0.25">
      <c r="E17" t="s">
        <v>67</v>
      </c>
      <c r="H17" s="24">
        <f>SUMIFS(Data!$F:$F,Data!$D:$D,E17,Data!$A:$A,"&gt;="&amp;Start_Date,Data!$A:$A,"&lt;="&amp;End_Date)-SUMIFS(Data!$G:$G,Data!$D:$D,E17,Data!$A:$A,"&gt;="&amp;Start_Date,Data!$A:$A,"&lt;="&amp;End_Date)</f>
        <v>208500</v>
      </c>
    </row>
    <row r="18" spans="4:13" ht="15" customHeight="1" x14ac:dyDescent="0.25">
      <c r="H18" s="24">
        <f>0</f>
        <v>0</v>
      </c>
      <c r="M18" s="30"/>
    </row>
    <row r="19" spans="4:13" ht="15" customHeight="1" x14ac:dyDescent="0.25">
      <c r="D19" s="26" t="s">
        <v>68</v>
      </c>
      <c r="E19" s="26"/>
      <c r="F19" s="27"/>
      <c r="G19" s="27"/>
      <c r="H19" s="28">
        <f>H17</f>
        <v>208500</v>
      </c>
      <c r="I19" s="20"/>
    </row>
    <row r="20" spans="4:13" ht="15.75" customHeight="1" x14ac:dyDescent="0.25">
      <c r="D20" s="31" t="s">
        <v>69</v>
      </c>
      <c r="E20" s="31"/>
      <c r="F20" s="32"/>
      <c r="G20" s="32"/>
      <c r="H20" s="32"/>
      <c r="I20" s="33">
        <f>H15-H19</f>
        <v>466500</v>
      </c>
    </row>
    <row r="21" spans="4:13" ht="15" customHeight="1" x14ac:dyDescent="0.25">
      <c r="D21" s="20" t="s">
        <v>70</v>
      </c>
      <c r="E21" s="20"/>
      <c r="F21" s="29"/>
      <c r="G21" s="29"/>
      <c r="H21" s="29"/>
      <c r="I21" s="20"/>
    </row>
    <row r="22" spans="4:13" ht="15" customHeight="1" x14ac:dyDescent="0.25">
      <c r="E22" t="s">
        <v>71</v>
      </c>
      <c r="H22" s="24">
        <f>SUMIFS(Data!$F:$F,Data!$D:$D,E22,Data!$A:$A,"&gt;="&amp;Start_Date,Data!$A:$A,"&lt;="&amp;End_Date)-SUMIFS(Data!$G:$G,Data!$D:$D,E22,Data!$A:$A,"&gt;="&amp;Start_Date,Data!$A:$A,"&lt;="&amp;End_Date)</f>
        <v>14500</v>
      </c>
    </row>
    <row r="23" spans="4:13" ht="15" customHeight="1" x14ac:dyDescent="0.25">
      <c r="E23" t="s">
        <v>72</v>
      </c>
      <c r="H23" s="24">
        <f>SUMIFS(Data!$F:$F,Data!$D:$D,E23,Data!$A:$A,"&gt;="&amp;Start_Date,Data!$A:$A,"&lt;="&amp;End_Date)-SUMIFS(Data!$G:$G,Data!$D:$D,E23,Data!$A:$A,"&gt;="&amp;Start_Date,Data!$A:$A,"&lt;="&amp;End_Date)</f>
        <v>72500</v>
      </c>
    </row>
    <row r="24" spans="4:13" ht="15" customHeight="1" x14ac:dyDescent="0.25">
      <c r="E24" t="s">
        <v>73</v>
      </c>
      <c r="H24" s="24">
        <f>SUMIFS(Data!$F:$F,Data!$D:$D,E24,Data!$A:$A,"&gt;="&amp;Start_Date,Data!$A:$A,"&lt;="&amp;End_Date)-SUMIFS(Data!$G:$G,Data!$D:$D,E24,Data!$A:$A,"&gt;="&amp;Start_Date,Data!$A:$A,"&lt;="&amp;End_Date)</f>
        <v>11200</v>
      </c>
    </row>
    <row r="25" spans="4:13" ht="15" customHeight="1" x14ac:dyDescent="0.25">
      <c r="E25" t="s">
        <v>74</v>
      </c>
      <c r="H25" s="24">
        <f>SUMIFS(Data!$F:$F,Data!$D:$D,E25,Data!$A:$A,"&gt;="&amp;Start_Date,Data!$A:$A,"&lt;="&amp;End_Date)-SUMIFS(Data!$G:$G,Data!$D:$D,E25,Data!$A:$A,"&gt;="&amp;Start_Date,Data!$A:$A,"&lt;="&amp;End_Date)</f>
        <v>6000</v>
      </c>
    </row>
    <row r="26" spans="4:13" ht="15" customHeight="1" x14ac:dyDescent="0.25">
      <c r="E26" t="s">
        <v>75</v>
      </c>
      <c r="H26" s="24">
        <f>SUMIFS(Data!$F:$F,Data!$D:$D,E26,Data!$A:$A,"&gt;="&amp;Start_Date,Data!$A:$A,"&lt;="&amp;End_Date)-SUMIFS(Data!$G:$G,Data!$D:$D,E26,Data!$A:$A,"&gt;="&amp;Start_Date,Data!$A:$A,"&lt;="&amp;End_Date)</f>
        <v>9500</v>
      </c>
    </row>
    <row r="27" spans="4:13" ht="15" customHeight="1" x14ac:dyDescent="0.25">
      <c r="E27" t="s">
        <v>76</v>
      </c>
      <c r="H27" s="24">
        <f>SUMIFS(Data!$F:$F,Data!$D:$D,E27,Data!$A:$A,"&gt;="&amp;Start_Date,Data!$A:$A,"&lt;="&amp;End_Date)-SUMIFS(Data!$G:$G,Data!$D:$D,E27,Data!$A:$A,"&gt;="&amp;Start_Date,Data!$A:$A,"&lt;="&amp;End_Date)</f>
        <v>1700</v>
      </c>
    </row>
    <row r="28" spans="4:13" ht="15" customHeight="1" x14ac:dyDescent="0.25">
      <c r="E28" t="s">
        <v>77</v>
      </c>
      <c r="H28" s="24">
        <f>SUMIFS(Data!$F:$F,Data!$D:$D,E28,Data!$A:$A,"&gt;="&amp;Start_Date,Data!$A:$A,"&lt;="&amp;End_Date)-SUMIFS(Data!$G:$G,Data!$D:$D,E28,Data!$A:$A,"&gt;="&amp;Start_Date,Data!$A:$A,"&lt;="&amp;End_Date)</f>
        <v>63500</v>
      </c>
    </row>
    <row r="29" spans="4:13" ht="15" customHeight="1" x14ac:dyDescent="0.25">
      <c r="E29" t="s">
        <v>78</v>
      </c>
      <c r="H29" s="24">
        <f>SUMIFS(Data!$F:$F,Data!$D:$D,E29,Data!$A:$A,"&gt;="&amp;Start_Date,Data!$A:$A,"&lt;="&amp;End_Date)-SUMIFS(Data!$G:$G,Data!$D:$D,E29,Data!$A:$A,"&gt;="&amp;Start_Date,Data!$A:$A,"&lt;="&amp;End_Date)</f>
        <v>1500</v>
      </c>
    </row>
    <row r="30" spans="4:13" ht="15" customHeight="1" x14ac:dyDescent="0.25">
      <c r="E30" t="s">
        <v>79</v>
      </c>
      <c r="H30" s="24">
        <f>SUMIFS(Data!$F:$F,Data!$D:$D,E30,Data!$A:$A,"&gt;="&amp;Start_Date,Data!$A:$A,"&lt;="&amp;End_Date)-SUMIFS(Data!$G:$G,Data!$D:$D,E30,Data!$A:$A,"&gt;="&amp;Start_Date,Data!$A:$A,"&lt;="&amp;End_Date)</f>
        <v>3000</v>
      </c>
    </row>
    <row r="31" spans="4:13" ht="15" customHeight="1" x14ac:dyDescent="0.25">
      <c r="E31" t="s">
        <v>80</v>
      </c>
      <c r="H31" s="24">
        <f>SUMIFS(Data!$F:$F,Data!$D:$D,E31,Data!$A:$A,"&gt;="&amp;Start_Date,Data!$A:$A,"&lt;="&amp;End_Date)-SUMIFS(Data!$G:$G,Data!$D:$D,E31,Data!$A:$A,"&gt;="&amp;Start_Date,Data!$A:$A,"&lt;="&amp;End_Date)</f>
        <v>1000</v>
      </c>
    </row>
    <row r="32" spans="4:13" ht="15" customHeight="1" x14ac:dyDescent="0.25">
      <c r="E32" t="s">
        <v>81</v>
      </c>
      <c r="H32" s="24">
        <f>SUMIFS(Data!$F:$F,Data!$D:$D,E32,Data!$A:$A,"&gt;="&amp;Start_Date,Data!$A:$A,"&lt;="&amp;End_Date)-SUMIFS(Data!$G:$G,Data!$D:$D,E32,Data!$A:$A,"&gt;="&amp;Start_Date,Data!$A:$A,"&lt;="&amp;End_Date)</f>
        <v>24000</v>
      </c>
    </row>
    <row r="33" spans="3:34" ht="15" customHeight="1" x14ac:dyDescent="0.25">
      <c r="D33" s="26" t="s">
        <v>82</v>
      </c>
      <c r="E33" s="26"/>
      <c r="F33" s="27"/>
      <c r="G33" s="27"/>
      <c r="H33" s="28">
        <f>SUM(H22:H32)</f>
        <v>208400</v>
      </c>
      <c r="I33" s="20"/>
    </row>
    <row r="34" spans="3:34" ht="15.75" customHeight="1" x14ac:dyDescent="0.25">
      <c r="D34" s="31" t="s">
        <v>83</v>
      </c>
      <c r="E34" s="31"/>
      <c r="F34" s="32"/>
      <c r="G34" s="32"/>
      <c r="H34" s="32"/>
      <c r="I34" s="33">
        <f>I20-H33</f>
        <v>258100</v>
      </c>
    </row>
    <row r="38" spans="3:34" ht="18.75" customHeight="1" x14ac:dyDescent="0.3">
      <c r="C38" s="79" t="s">
        <v>84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3:34" ht="15.75" customHeight="1" x14ac:dyDescent="0.25">
      <c r="C39" s="80" t="str">
        <f>"As At "&amp;TEXT(End_Date, "dd-mm-yyyy")</f>
        <v>As At 31-12-2025</v>
      </c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3:34" ht="18.75" customHeight="1" x14ac:dyDescent="0.3">
      <c r="D40" s="23" t="s">
        <v>85</v>
      </c>
    </row>
    <row r="41" spans="3:34" ht="15" customHeight="1" x14ac:dyDescent="0.25">
      <c r="D41" s="20" t="s">
        <v>86</v>
      </c>
      <c r="J41" s="20" t="s">
        <v>87</v>
      </c>
    </row>
    <row r="42" spans="3:34" ht="15" customHeight="1" x14ac:dyDescent="0.25">
      <c r="E42" t="s">
        <v>88</v>
      </c>
      <c r="F42" s="24">
        <f>SUMIFS(Data!$F:$F,Data!$D:$D,E42,Data!$A:$A,"&lt;="&amp;End_Date)-SUMIFS(Data!$G:$G,Data!$D:$D,E42,Data!$A:$A,"&lt;="&amp;End_Date)</f>
        <v>1119400</v>
      </c>
      <c r="K42" t="s">
        <v>89</v>
      </c>
      <c r="L42" s="24">
        <f>SUMIFS(Data!$G:$G,Data!$D:$D,K42,Data!$A:$A,"&lt;="&amp;End_Date)-SUMIFS(Data!$F:$F,Data!$D:$D,K42,Data!$A:$A,"&lt;="&amp;End_Date)</f>
        <v>707000</v>
      </c>
    </row>
    <row r="43" spans="3:34" ht="15" customHeight="1" x14ac:dyDescent="0.25">
      <c r="E43" t="s">
        <v>90</v>
      </c>
      <c r="F43" s="24">
        <f>SUMIFS(Data!$F:$F,Data!$D:$D,E43,Data!$A:$A,"&lt;="&amp;End_Date)-SUMIFS(Data!$G:$G,Data!$D:$D,E43,Data!$A:$A,"&lt;="&amp;End_Date)</f>
        <v>326000</v>
      </c>
      <c r="K43" t="s">
        <v>91</v>
      </c>
      <c r="L43" s="24">
        <f>SUMIFS(Data!$G:$G,Data!$D:$D,K43,Data!$A:$A,"&lt;="&amp;End_Date)-SUMIFS(Data!$F:$F,Data!$D:$D,K43,Data!$A:$A,"&lt;="&amp;End_Date)</f>
        <v>0</v>
      </c>
    </row>
    <row r="44" spans="3:34" ht="15" customHeight="1" x14ac:dyDescent="0.25">
      <c r="E44" t="s">
        <v>92</v>
      </c>
      <c r="F44" s="24">
        <f>SUMIFS(Data!$F:$F,Data!$D:$D,E44,Data!$A:$A,"&lt;="&amp;End_Date)-SUMIFS(Data!$G:$G,Data!$D:$D,E44,Data!$A:$A,"&lt;="&amp;End_Date)</f>
        <v>125000</v>
      </c>
      <c r="J44" s="20" t="s">
        <v>93</v>
      </c>
      <c r="K44" s="26"/>
      <c r="L44" s="28">
        <f>SUM(L42:L43)</f>
        <v>707000</v>
      </c>
    </row>
    <row r="45" spans="3:34" ht="15" customHeight="1" x14ac:dyDescent="0.25">
      <c r="D45" s="26" t="s">
        <v>94</v>
      </c>
      <c r="E45" s="26"/>
      <c r="F45" s="28">
        <f>SUM(F42:F44)</f>
        <v>1570400</v>
      </c>
    </row>
    <row r="46" spans="3:34" ht="15" customHeight="1" x14ac:dyDescent="0.25">
      <c r="J46" s="20" t="s">
        <v>95</v>
      </c>
    </row>
    <row r="47" spans="3:34" ht="15" customHeight="1" x14ac:dyDescent="0.25">
      <c r="D47" s="20" t="s">
        <v>96</v>
      </c>
      <c r="K47" t="s">
        <v>97</v>
      </c>
      <c r="L47" s="24">
        <f>SUMIFS(Data!$G:$G,Data!$D:$D,K47,Data!$A:$A,"&lt;="&amp;End_Date)-SUMIFS(Data!$F:$F,Data!$D:$D,K47,Data!$A:$A,"&lt;="&amp;End_Date)</f>
        <v>65000</v>
      </c>
    </row>
    <row r="48" spans="3:34" ht="15" customHeight="1" x14ac:dyDescent="0.25">
      <c r="E48" t="s">
        <v>98</v>
      </c>
      <c r="F48" s="24">
        <f>SUMIFS(Data!$F:$F,Data!$D:$D,E48,Data!$A:$A,"&lt;="&amp;End_Date)-SUMIFS(Data!$G:$G,Data!$D:$D,E48,Data!$A:$A,"&lt;="&amp;End_Date)</f>
        <v>42500</v>
      </c>
      <c r="J48" s="20" t="s">
        <v>99</v>
      </c>
      <c r="K48" s="26"/>
      <c r="L48" s="28">
        <f>L47</f>
        <v>65000</v>
      </c>
    </row>
    <row r="49" spans="3:34" ht="15" customHeight="1" x14ac:dyDescent="0.25">
      <c r="E49" t="s">
        <v>100</v>
      </c>
      <c r="F49" s="24">
        <f>SUMIFS(Data!$F:$F,Data!$D:$D,E49,Data!$A:$A,"&lt;="&amp;End_Date)-SUMIFS(Data!$G:$G,Data!$D:$D,E49,Data!$A:$A,"&lt;="&amp;End_Date)</f>
        <v>-30600</v>
      </c>
    </row>
    <row r="50" spans="3:34" ht="15" customHeight="1" x14ac:dyDescent="0.25">
      <c r="D50" s="26" t="s">
        <v>101</v>
      </c>
      <c r="E50" s="26"/>
      <c r="F50" s="28">
        <f>SUM(F48:F49)</f>
        <v>11900</v>
      </c>
      <c r="J50" s="20" t="s">
        <v>102</v>
      </c>
    </row>
    <row r="51" spans="3:34" ht="15" customHeight="1" x14ac:dyDescent="0.25">
      <c r="K51" t="s">
        <v>103</v>
      </c>
      <c r="L51" s="24">
        <f>SUMIFS(Data!$G:$G,Data!$D:$D,K51,Data!$A:$A,"&lt;="&amp;End_Date)-SUMIFS(Data!$F:$F,Data!$D:$D,K51,Data!$A:$A,"&lt;="&amp;End_Date)</f>
        <v>77000</v>
      </c>
    </row>
    <row r="52" spans="3:34" ht="15" customHeight="1" x14ac:dyDescent="0.25">
      <c r="K52" t="s">
        <v>104</v>
      </c>
      <c r="L52" s="24">
        <f>SUMIFS(Data!$G:$G,Data!$C:$C,"Income",Data!$A:$A,"&lt;="&amp;End_Date)-SUMIFS(Data!$F:$F,Data!$C:$C,"Income",Data!$A:$A,"&lt;="&amp;End_Date)-SUMIFS(Data!$F:$F,Data!$C:$C,"Expense",Data!$A:$A,"&lt;="&amp;End_Date)+SUMIFS(Data!$G:$G,Data!$C:$C,"Expense",Data!$A:$A,"&lt;="&amp;End_Date)</f>
        <v>733300</v>
      </c>
    </row>
    <row r="53" spans="3:34" ht="15" customHeight="1" x14ac:dyDescent="0.25">
      <c r="J53" s="20" t="s">
        <v>105</v>
      </c>
      <c r="K53" s="26"/>
      <c r="L53" s="28">
        <f>SUM(L51:L52)</f>
        <v>810300</v>
      </c>
    </row>
    <row r="54" spans="3:34" ht="15.75" customHeight="1" x14ac:dyDescent="0.25"/>
    <row r="55" spans="3:34" ht="17.25" customHeight="1" x14ac:dyDescent="0.25">
      <c r="D55" s="34" t="s">
        <v>106</v>
      </c>
      <c r="E55" s="34"/>
      <c r="F55" s="35">
        <f>SUM(F45,F50)</f>
        <v>1582300</v>
      </c>
      <c r="G55" s="36"/>
      <c r="H55" s="36"/>
      <c r="I55" s="34"/>
      <c r="J55" s="37" t="s">
        <v>107</v>
      </c>
      <c r="K55" s="34"/>
      <c r="L55" s="35">
        <f>SUM(L44,L48,L53)</f>
        <v>1582300</v>
      </c>
    </row>
    <row r="59" spans="3:34" ht="18.75" customHeight="1" x14ac:dyDescent="0.3">
      <c r="C59" s="79" t="s">
        <v>108</v>
      </c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77"/>
      <c r="AB59" s="77"/>
      <c r="AC59" s="78"/>
      <c r="AD59" s="78"/>
      <c r="AE59" s="78"/>
      <c r="AF59" s="78"/>
      <c r="AG59" s="78"/>
      <c r="AH59" s="78"/>
    </row>
    <row r="60" spans="3:34" ht="15.75" customHeight="1" x14ac:dyDescent="0.25">
      <c r="C60" s="80" t="str">
        <f>"As At "&amp;TEXT(End_Date, "dd-mm-yyyy")</f>
        <v>As At 31-12-2025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77"/>
      <c r="AB60" s="77"/>
      <c r="AC60" s="78"/>
      <c r="AD60" s="78"/>
      <c r="AE60" s="78"/>
      <c r="AF60" s="78"/>
      <c r="AG60" s="78"/>
      <c r="AH60" s="78"/>
    </row>
    <row r="62" spans="3:34" ht="15" customHeight="1" x14ac:dyDescent="0.25">
      <c r="D62" t="s">
        <v>109</v>
      </c>
    </row>
    <row r="63" spans="3:34" ht="15" customHeight="1" x14ac:dyDescent="0.25">
      <c r="D63" t="s">
        <v>110</v>
      </c>
      <c r="H63" s="24">
        <f>SUMIFS(Data!$F:$F,Data!$D:$D,"Cash",Data!$A:$A,"&lt;"&amp;Start_Date)-SUMIFS(Data!$G:$G,Data!$D:$D,"Cash",Data!$A:$A,"&lt;"&amp;Start_Date)</f>
        <v>738100</v>
      </c>
    </row>
    <row r="64" spans="3:34" ht="15" customHeight="1" x14ac:dyDescent="0.25">
      <c r="D64" t="s">
        <v>111</v>
      </c>
    </row>
    <row r="65" spans="5:7" ht="15" customHeight="1" x14ac:dyDescent="0.25">
      <c r="E65" t="s">
        <v>112</v>
      </c>
    </row>
    <row r="66" spans="5:7" ht="15" customHeight="1" x14ac:dyDescent="0.25">
      <c r="F66" s="10" t="s">
        <v>113</v>
      </c>
      <c r="G66" s="24">
        <f>SUMIFS(Data!$F:$F,Data!$D:$D,"Cash",Data!$B:$B,F66,Data!$A:$A,"&gt;="&amp;Start_Date,Data!$A:$A,"&lt;="&amp;End_Date)</f>
        <v>73000</v>
      </c>
    </row>
    <row r="67" spans="5:7" ht="15" customHeight="1" x14ac:dyDescent="0.25">
      <c r="F67" s="10" t="s">
        <v>114</v>
      </c>
      <c r="G67" s="24">
        <f>SUMIFS(Data!$F:$F,Data!$D:$D,"Cash",Data!$B:$B,F67,Data!$A:$A,"&gt;="&amp;Start_Date,Data!$A:$A,"&lt;="&amp;End_Date)</f>
        <v>287000</v>
      </c>
    </row>
    <row r="68" spans="5:7" ht="15" customHeight="1" x14ac:dyDescent="0.25">
      <c r="F68" s="10" t="s">
        <v>115</v>
      </c>
      <c r="G68" s="24">
        <f>SUMIFS(Data!$F:$F,Data!$D:$D,"Cash",Data!$B:$B,F68,Data!$A:$A,"&gt;="&amp;Start_Date,Data!$A:$A,"&lt;="&amp;End_Date)</f>
        <v>190000</v>
      </c>
    </row>
    <row r="69" spans="5:7" ht="15" customHeight="1" x14ac:dyDescent="0.25">
      <c r="E69" t="s">
        <v>116</v>
      </c>
      <c r="G69" s="24">
        <f>SUM(G66:G68)</f>
        <v>550000</v>
      </c>
    </row>
    <row r="70" spans="5:7" ht="15" customHeight="1" x14ac:dyDescent="0.25">
      <c r="E70" t="s">
        <v>117</v>
      </c>
    </row>
    <row r="71" spans="5:7" ht="15" customHeight="1" x14ac:dyDescent="0.25">
      <c r="F71" s="10" t="s">
        <v>118</v>
      </c>
      <c r="G71" s="24">
        <f>SUMIFS(Data!$G:$G,Data!$D:$D,"Cash",Data!$B:$B,F71,Data!$A:$A,"&gt;="&amp;Start_Date,Data!$A:$A,"&lt;="&amp;End_Date)</f>
        <v>63500</v>
      </c>
    </row>
    <row r="72" spans="5:7" ht="15" customHeight="1" x14ac:dyDescent="0.25">
      <c r="F72" s="10" t="s">
        <v>119</v>
      </c>
      <c r="G72" s="24">
        <f>SUMIFS(Data!$G:$G,Data!$D:$D,"Cash",Data!$B:$B,F72,Data!$A:$A,"&gt;="&amp;Start_Date,Data!$A:$A,"&lt;="&amp;End_Date)</f>
        <v>72500</v>
      </c>
    </row>
    <row r="73" spans="5:7" ht="15" customHeight="1" x14ac:dyDescent="0.25">
      <c r="F73" s="10" t="s">
        <v>120</v>
      </c>
      <c r="G73" s="24">
        <f>SUMIFS(Data!$G:$G,Data!$D:$D,"Cash",Data!$B:$B,F73,Data!$A:$A,"&gt;="&amp;Start_Date,Data!$A:$A,"&lt;="&amp;End_Date)</f>
        <v>24000</v>
      </c>
    </row>
    <row r="74" spans="5:7" ht="15" customHeight="1" x14ac:dyDescent="0.25">
      <c r="F74" s="10" t="s">
        <v>121</v>
      </c>
      <c r="G74" s="24">
        <f>SUMIFS(Data!$G:$G,Data!$D:$D,"Cash",Data!$B:$B,F74,Data!$A:$A,"&gt;="&amp;Start_Date,Data!$A:$A,"&lt;="&amp;End_Date)</f>
        <v>14500</v>
      </c>
    </row>
    <row r="75" spans="5:7" ht="15" customHeight="1" x14ac:dyDescent="0.25">
      <c r="F75" s="10" t="s">
        <v>122</v>
      </c>
      <c r="G75" s="24">
        <f>SUMIFS(Data!$G:$G,Data!$D:$D,"Cash",Data!$B:$B,F75,Data!$A:$A,"&gt;="&amp;Start_Date,Data!$A:$A,"&lt;="&amp;End_Date)</f>
        <v>0</v>
      </c>
    </row>
    <row r="76" spans="5:7" ht="15" customHeight="1" x14ac:dyDescent="0.25">
      <c r="F76" s="10" t="s">
        <v>123</v>
      </c>
      <c r="G76" s="24">
        <f>SUMIFS(Data!$G:$G,Data!$D:$D,"Cash",Data!$B:$B,F76,Data!$A:$A,"&gt;="&amp;Start_Date,Data!$A:$A,"&lt;="&amp;End_Date)</f>
        <v>1000</v>
      </c>
    </row>
    <row r="77" spans="5:7" ht="15" customHeight="1" x14ac:dyDescent="0.25">
      <c r="F77" s="10" t="s">
        <v>124</v>
      </c>
      <c r="G77" s="24">
        <f>SUMIFS(Data!$G:$G,Data!$D:$D,"Cash",Data!$B:$B,F77,Data!$A:$A,"&gt;="&amp;Start_Date,Data!$A:$A,"&lt;="&amp;End_Date)</f>
        <v>6000</v>
      </c>
    </row>
    <row r="78" spans="5:7" ht="15" customHeight="1" x14ac:dyDescent="0.25">
      <c r="F78" s="10" t="s">
        <v>125</v>
      </c>
      <c r="G78" s="24">
        <f>SUMIFS(Data!$G:$G,Data!$D:$D,"Cash",Data!$B:$B,F78,Data!$A:$A,"&gt;="&amp;Start_Date,Data!$A:$A,"&lt;="&amp;End_Date)</f>
        <v>1700</v>
      </c>
    </row>
    <row r="79" spans="5:7" ht="15" customHeight="1" x14ac:dyDescent="0.25">
      <c r="F79" s="10" t="s">
        <v>126</v>
      </c>
      <c r="G79" s="24">
        <f>SUMIFS(Data!$G:$G,Data!$D:$D,"Cash",Data!$B:$B,F79,Data!$A:$A,"&gt;="&amp;Start_Date,Data!$A:$A,"&lt;="&amp;End_Date)</f>
        <v>3000</v>
      </c>
    </row>
    <row r="80" spans="5:7" ht="15" customHeight="1" x14ac:dyDescent="0.25">
      <c r="F80" s="10" t="s">
        <v>127</v>
      </c>
      <c r="G80" s="24">
        <f>SUMIFS(Data!$G:$G,Data!$D:$D,"Cash",Data!$B:$B,F80,Data!$A:$A,"&gt;="&amp;Start_Date,Data!$A:$A,"&lt;="&amp;End_Date)</f>
        <v>1500</v>
      </c>
    </row>
    <row r="81" spans="4:10" ht="15" customHeight="1" x14ac:dyDescent="0.25">
      <c r="F81" s="10" t="s">
        <v>128</v>
      </c>
      <c r="G81" s="24">
        <f>SUMIFS(Data!$G:$G,Data!$D:$D,"Cash",Data!$B:$B,F81,Data!$A:$A,"&gt;="&amp;Start_Date,Data!$A:$A,"&lt;="&amp;End_Date)</f>
        <v>9500</v>
      </c>
    </row>
    <row r="82" spans="4:10" ht="15.75" customHeight="1" x14ac:dyDescent="0.25">
      <c r="E82" s="26" t="s">
        <v>129</v>
      </c>
      <c r="F82" s="26"/>
      <c r="G82" s="28">
        <f>SUM(G71:G81)</f>
        <v>197200</v>
      </c>
    </row>
    <row r="83" spans="4:10" ht="15" customHeight="1" x14ac:dyDescent="0.25">
      <c r="D83" s="38" t="s">
        <v>130</v>
      </c>
      <c r="E83" s="38"/>
      <c r="F83" s="38"/>
      <c r="G83" s="39"/>
      <c r="H83" s="40">
        <f>G69-G82</f>
        <v>352800</v>
      </c>
    </row>
    <row r="84" spans="4:10" ht="15" customHeight="1" x14ac:dyDescent="0.25">
      <c r="J84" s="20"/>
    </row>
    <row r="85" spans="4:10" ht="15" customHeight="1" x14ac:dyDescent="0.25">
      <c r="D85" s="20" t="s">
        <v>131</v>
      </c>
    </row>
    <row r="86" spans="4:10" ht="15" customHeight="1" x14ac:dyDescent="0.25">
      <c r="E86" t="s">
        <v>132</v>
      </c>
    </row>
    <row r="87" spans="4:10" ht="15" customHeight="1" x14ac:dyDescent="0.25">
      <c r="F87" s="10" t="s">
        <v>133</v>
      </c>
      <c r="G87" s="24">
        <f>SUMIFS(Data!$F:$F,Data!$D:$D,"Cash",Data!$B:$B,F87,Data!$A:$A,"&gt;="&amp;Start_Date,Data!$A:$A,"&lt;="&amp;End_Date)</f>
        <v>7000</v>
      </c>
    </row>
    <row r="88" spans="4:10" ht="15" customHeight="1" x14ac:dyDescent="0.25">
      <c r="E88" s="26" t="s">
        <v>134</v>
      </c>
      <c r="F88" s="26"/>
      <c r="G88" s="28">
        <f>SUM(G87)</f>
        <v>7000</v>
      </c>
    </row>
    <row r="89" spans="4:10" ht="15" customHeight="1" x14ac:dyDescent="0.25">
      <c r="E89" t="s">
        <v>135</v>
      </c>
    </row>
    <row r="90" spans="4:10" ht="15" customHeight="1" x14ac:dyDescent="0.25">
      <c r="F90" s="10" t="s">
        <v>136</v>
      </c>
      <c r="G90" s="24">
        <f>SUMIFS(Data!$G:$G,Data!$D:$D,"Cash",Data!$B:$B,F90,Data!$A:$A,"&gt;="&amp;Start_Date,Data!$A:$A,"&lt;="&amp;End_Date)</f>
        <v>13500</v>
      </c>
    </row>
    <row r="91" spans="4:10" ht="15.75" customHeight="1" x14ac:dyDescent="0.25">
      <c r="D91" s="41"/>
      <c r="E91" s="31" t="s">
        <v>137</v>
      </c>
      <c r="F91" s="31"/>
      <c r="G91" s="33">
        <f>SUM(G90)</f>
        <v>13500</v>
      </c>
      <c r="H91" s="42"/>
    </row>
    <row r="92" spans="4:10" ht="15" customHeight="1" x14ac:dyDescent="0.25">
      <c r="D92" s="38" t="s">
        <v>138</v>
      </c>
      <c r="E92" s="38"/>
      <c r="F92" s="38"/>
      <c r="G92" s="39"/>
      <c r="H92" s="40">
        <f>G88-G91</f>
        <v>-6500</v>
      </c>
    </row>
    <row r="93" spans="4:10" ht="15" customHeight="1" x14ac:dyDescent="0.25">
      <c r="E93" t="s">
        <v>135</v>
      </c>
    </row>
    <row r="94" spans="4:10" ht="15" customHeight="1" x14ac:dyDescent="0.25">
      <c r="D94" s="20" t="s">
        <v>139</v>
      </c>
    </row>
    <row r="95" spans="4:10" ht="15" customHeight="1" x14ac:dyDescent="0.25">
      <c r="E95" t="s">
        <v>140</v>
      </c>
    </row>
    <row r="96" spans="4:10" ht="15" customHeight="1" x14ac:dyDescent="0.25">
      <c r="F96" s="43" t="s">
        <v>141</v>
      </c>
      <c r="G96" s="24">
        <f>SUMIFS(Data!$F:$F,Data!$D:$D,"Cash",Data!$B:$B,F96,Data!$A:$A,"&gt;="&amp;Start_Date,Data!$A:$A,"&lt;="&amp;End_Date)</f>
        <v>20000</v>
      </c>
    </row>
    <row r="97" spans="3:34" ht="15" customHeight="1" x14ac:dyDescent="0.25">
      <c r="E97" s="26" t="s">
        <v>142</v>
      </c>
      <c r="F97" s="26" t="s">
        <v>143</v>
      </c>
      <c r="G97" s="28">
        <f>SUMIFS(Data!$F:$F,Data!$D:$D,"Cash",Data!$B:$B,F97,Data!$A:$A,"&gt;="&amp;Start_Date,Data!$A:$A,"&lt;="&amp;End_Date)</f>
        <v>15000</v>
      </c>
    </row>
    <row r="98" spans="3:34" ht="15" customHeight="1" x14ac:dyDescent="0.25">
      <c r="E98" t="s">
        <v>144</v>
      </c>
      <c r="G98" s="24">
        <f>SUM(G96:G97)</f>
        <v>35000</v>
      </c>
    </row>
    <row r="99" spans="3:34" ht="15" customHeight="1" x14ac:dyDescent="0.25">
      <c r="E99" t="s">
        <v>145</v>
      </c>
      <c r="F99" s="10" t="s">
        <v>146</v>
      </c>
      <c r="G99" s="10">
        <f>SUMIFS(Data!$G:$G,Data!$D:$D,"Cash",Data!$B:$B,F99,Data!$A:$A,"&gt;="&amp;Start_Date,Data!$A:$A,"&lt;="&amp;End_Date)</f>
        <v>0</v>
      </c>
    </row>
    <row r="100" spans="3:34" ht="15.75" customHeight="1" x14ac:dyDescent="0.25">
      <c r="E100" s="26" t="s">
        <v>147</v>
      </c>
      <c r="F100" s="26" t="s">
        <v>148</v>
      </c>
      <c r="G100" s="28">
        <f>SUMIFS(Data!$G:$G,Data!$D:$D,"Cash",Data!$E:$E,"Financing Expense",Data!$A:$A,"&gt;="&amp;Start_Date,Data!$A:$A,"&lt;="&amp;End_Date)</f>
        <v>0</v>
      </c>
    </row>
    <row r="101" spans="3:34" ht="15.75" customHeight="1" x14ac:dyDescent="0.25">
      <c r="D101" s="44" t="s">
        <v>149</v>
      </c>
      <c r="E101" s="44"/>
      <c r="F101" s="44"/>
      <c r="G101" s="45"/>
      <c r="H101" s="46">
        <f>G98-G100</f>
        <v>35000</v>
      </c>
    </row>
    <row r="102" spans="3:34" ht="16.5" customHeight="1" x14ac:dyDescent="0.25">
      <c r="D102" s="47" t="s">
        <v>150</v>
      </c>
      <c r="E102" s="47"/>
      <c r="F102" s="47"/>
      <c r="G102" s="48"/>
      <c r="H102" s="49">
        <f>H83+H92+H101</f>
        <v>381300</v>
      </c>
    </row>
    <row r="103" spans="3:34" ht="15" customHeight="1" x14ac:dyDescent="0.25">
      <c r="D103" t="s">
        <v>151</v>
      </c>
      <c r="H103" s="24">
        <f>H63+H102</f>
        <v>1119400</v>
      </c>
    </row>
    <row r="105" spans="3:34" ht="18.75" customHeight="1" x14ac:dyDescent="0.3">
      <c r="C105" s="81" t="s">
        <v>152</v>
      </c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77"/>
      <c r="P105" s="77"/>
      <c r="Q105" s="77"/>
      <c r="R105" s="77"/>
      <c r="S105" s="77"/>
      <c r="T105" s="77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</row>
    <row r="106" spans="3:34" ht="15.75" customHeight="1" x14ac:dyDescent="0.25">
      <c r="C106" s="82" t="str">
        <f>"As At "&amp;TEXT(End_Date, "dd-mm-yyyy")</f>
        <v>As At 31-12-2025</v>
      </c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77"/>
      <c r="P106" s="77"/>
      <c r="Q106" s="77"/>
      <c r="R106" s="77"/>
      <c r="S106" s="77"/>
      <c r="T106" s="77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</row>
    <row r="107" spans="3:34" ht="15" customHeight="1" x14ac:dyDescent="0.25">
      <c r="D107" s="20" t="s">
        <v>153</v>
      </c>
      <c r="E107" s="20"/>
      <c r="F107" s="20" t="s">
        <v>154</v>
      </c>
      <c r="G107" s="29" t="s">
        <v>155</v>
      </c>
      <c r="H107" s="29" t="s">
        <v>156</v>
      </c>
    </row>
    <row r="108" spans="3:34" ht="15" customHeight="1" x14ac:dyDescent="0.25">
      <c r="D108" t="s">
        <v>88</v>
      </c>
      <c r="F108" s="10" t="s">
        <v>157</v>
      </c>
      <c r="G108" s="10">
        <f>SUMIFS(Data!$F:$F,Data!$D:$D,D108,Data!$A:$A,"&lt;="&amp;End_Date)</f>
        <v>1746500</v>
      </c>
      <c r="H108" s="10">
        <f>SUMIFS(Data!$G:$G,Data!$D:$D,D108,Data!$A:$A,"&lt;="&amp;End_Date)</f>
        <v>627100</v>
      </c>
    </row>
    <row r="109" spans="3:34" ht="15" customHeight="1" x14ac:dyDescent="0.25">
      <c r="D109" t="s">
        <v>90</v>
      </c>
      <c r="F109" s="10" t="s">
        <v>157</v>
      </c>
      <c r="G109" s="10">
        <f>SUMIFS(Data!$F:$F,Data!$D:$D,D109,Data!$A:$A,"&lt;="&amp;End_Date)</f>
        <v>1183000</v>
      </c>
      <c r="H109" s="10">
        <f>SUMIFS(Data!$G:$G,Data!$D:$D,D109,Data!$A:$A,"&lt;="&amp;End_Date)</f>
        <v>857000</v>
      </c>
    </row>
    <row r="110" spans="3:34" ht="15" customHeight="1" x14ac:dyDescent="0.25">
      <c r="D110" t="s">
        <v>92</v>
      </c>
      <c r="F110" s="10" t="s">
        <v>157</v>
      </c>
      <c r="G110" s="10">
        <f>SUMIFS(Data!$F:$F,Data!$D:$D,D110,Data!$A:$A,"&lt;="&amp;End_Date)</f>
        <v>707000</v>
      </c>
      <c r="H110" s="10">
        <f>SUMIFS(Data!$G:$G,Data!$D:$D,D110,Data!$A:$A,"&lt;="&amp;End_Date)</f>
        <v>582000</v>
      </c>
    </row>
    <row r="111" spans="3:34" ht="15" customHeight="1" x14ac:dyDescent="0.25">
      <c r="D111" t="s">
        <v>98</v>
      </c>
      <c r="F111" s="10" t="s">
        <v>157</v>
      </c>
      <c r="G111" s="10">
        <f>SUMIFS(Data!$F:$F,Data!$D:$D,D111,Data!$A:$A,"&lt;="&amp;End_Date)</f>
        <v>42500</v>
      </c>
      <c r="H111" s="10">
        <f>SUMIFS(Data!$G:$G,Data!$D:$D,D111,Data!$A:$A,"&lt;="&amp;End_Date)</f>
        <v>0</v>
      </c>
    </row>
    <row r="112" spans="3:34" ht="15" customHeight="1" x14ac:dyDescent="0.25">
      <c r="D112" t="s">
        <v>100</v>
      </c>
      <c r="F112" s="10" t="s">
        <v>157</v>
      </c>
      <c r="G112" s="10">
        <f>SUMIFS(Data!$F:$F,Data!$D:$D,D112,Data!$A:$A,"&lt;="&amp;End_Date)</f>
        <v>0</v>
      </c>
      <c r="H112" s="10">
        <f>SUMIFS(Data!$G:$G,Data!$D:$D,D112,Data!$A:$A,"&lt;="&amp;End_Date)</f>
        <v>30600</v>
      </c>
    </row>
    <row r="113" spans="4:8" ht="15" customHeight="1" x14ac:dyDescent="0.25">
      <c r="D113" t="s">
        <v>89</v>
      </c>
      <c r="F113" s="10" t="s">
        <v>158</v>
      </c>
      <c r="G113" s="10">
        <f>SUMIFS(Data!$F:$F,Data!$D:$D,D113,Data!$A:$A,"&lt;="&amp;End_Date)</f>
        <v>0</v>
      </c>
      <c r="H113" s="10">
        <f>SUMIFS(Data!$G:$G,Data!$D:$D,D113,Data!$A:$A,"&lt;="&amp;End_Date)</f>
        <v>707000</v>
      </c>
    </row>
    <row r="114" spans="4:8" ht="15" customHeight="1" x14ac:dyDescent="0.25">
      <c r="D114" t="s">
        <v>97</v>
      </c>
      <c r="F114" s="10" t="s">
        <v>158</v>
      </c>
      <c r="G114" s="10">
        <f>SUMIFS(Data!$F:$F,Data!$D:$D,D114,Data!$A:$A,"&lt;="&amp;End_Date)</f>
        <v>0</v>
      </c>
      <c r="H114" s="10">
        <f>SUMIFS(Data!$G:$G,Data!$D:$D,D114,Data!$A:$A,"&lt;="&amp;End_Date)</f>
        <v>65000</v>
      </c>
    </row>
    <row r="115" spans="4:8" ht="15" customHeight="1" x14ac:dyDescent="0.25">
      <c r="D115" t="s">
        <v>103</v>
      </c>
      <c r="F115" s="10" t="s">
        <v>159</v>
      </c>
      <c r="G115" s="10">
        <f>SUMIFS(Data!$F:$F,Data!$D:$D,D115,Data!$A:$A,"&lt;="&amp;End_Date)</f>
        <v>0</v>
      </c>
      <c r="H115" s="10">
        <f>SUMIFS(Data!$G:$G,Data!$D:$D,D115,Data!$A:$A,"&lt;="&amp;End_Date)</f>
        <v>77000</v>
      </c>
    </row>
    <row r="116" spans="4:8" ht="15" customHeight="1" x14ac:dyDescent="0.25">
      <c r="D116" t="s">
        <v>63</v>
      </c>
      <c r="F116" s="10" t="s">
        <v>60</v>
      </c>
      <c r="G116" s="10">
        <f>SUMIFS(Data!$F:$F,Data!$D:$D,D116,Data!$A:$A,"&lt;="&amp;End_Date)</f>
        <v>0</v>
      </c>
      <c r="H116" s="10">
        <f>SUMIFS(Data!$G:$G,Data!$D:$D,D116,Data!$A:$A,"&lt;="&amp;End_Date)</f>
        <v>1393000</v>
      </c>
    </row>
    <row r="117" spans="4:8" ht="15" customHeight="1" x14ac:dyDescent="0.25">
      <c r="D117" t="s">
        <v>61</v>
      </c>
      <c r="F117" s="10" t="s">
        <v>60</v>
      </c>
      <c r="G117" s="10">
        <f>SUMIFS(Data!$F:$F,Data!$D:$D,D117,Data!$A:$A,"&lt;="&amp;End_Date)</f>
        <v>0</v>
      </c>
      <c r="H117" s="10">
        <f>SUMIFS(Data!$G:$G,Data!$D:$D,D117,Data!$A:$A,"&lt;="&amp;End_Date)</f>
        <v>201000</v>
      </c>
    </row>
    <row r="118" spans="4:8" ht="15" customHeight="1" x14ac:dyDescent="0.25">
      <c r="D118" t="s">
        <v>64</v>
      </c>
      <c r="F118" s="10" t="s">
        <v>60</v>
      </c>
      <c r="G118" s="10">
        <f>SUMIFS(Data!$F:$F,Data!$D:$D,D118,Data!$A:$A,"&lt;="&amp;End_Date)</f>
        <v>0</v>
      </c>
      <c r="H118" s="10">
        <f>SUMIFS(Data!$G:$G,Data!$D:$D,D118,Data!$A:$A,"&lt;="&amp;End_Date)</f>
        <v>317000</v>
      </c>
    </row>
    <row r="119" spans="4:8" ht="15" customHeight="1" x14ac:dyDescent="0.25">
      <c r="D119" t="s">
        <v>62</v>
      </c>
      <c r="F119" s="10" t="s">
        <v>60</v>
      </c>
      <c r="G119" s="10">
        <f>SUMIFS(Data!$F:$F,Data!$D:$D,D119,Data!$A:$A,"&lt;="&amp;End_Date)</f>
        <v>0</v>
      </c>
      <c r="H119" s="10">
        <f>SUMIFS(Data!$G:$G,Data!$D:$D,D119,Data!$A:$A,"&lt;="&amp;End_Date)</f>
        <v>19500</v>
      </c>
    </row>
    <row r="120" spans="4:8" ht="15" customHeight="1" x14ac:dyDescent="0.25">
      <c r="D120" t="s">
        <v>67</v>
      </c>
      <c r="F120" s="10" t="s">
        <v>160</v>
      </c>
      <c r="G120" s="10">
        <f>SUMIFS(Data!$F:$F,Data!$D:$D,D120,Data!$A:$A,"&lt;="&amp;End_Date)</f>
        <v>582000</v>
      </c>
      <c r="H120" s="10">
        <f>SUMIFS(Data!$G:$G,Data!$D:$D,D120,Data!$A:$A,"&lt;="&amp;End_Date)</f>
        <v>0</v>
      </c>
    </row>
    <row r="121" spans="4:8" ht="15" customHeight="1" x14ac:dyDescent="0.25">
      <c r="D121" t="s">
        <v>72</v>
      </c>
      <c r="F121" s="10" t="s">
        <v>160</v>
      </c>
      <c r="G121" s="10">
        <f>SUMIFS(Data!$F:$F,Data!$D:$D,D121,Data!$A:$A,"&lt;="&amp;End_Date)</f>
        <v>215000</v>
      </c>
      <c r="H121" s="10">
        <f>SUMIFS(Data!$G:$G,Data!$D:$D,D121,Data!$A:$A,"&lt;="&amp;End_Date)</f>
        <v>0</v>
      </c>
    </row>
    <row r="122" spans="4:8" ht="15" customHeight="1" x14ac:dyDescent="0.25">
      <c r="D122" t="s">
        <v>77</v>
      </c>
      <c r="F122" s="10" t="s">
        <v>160</v>
      </c>
      <c r="G122" s="10">
        <f>SUMIFS(Data!$F:$F,Data!$D:$D,D122,Data!$A:$A,"&lt;="&amp;End_Date)</f>
        <v>175000</v>
      </c>
      <c r="H122" s="10">
        <f>SUMIFS(Data!$G:$G,Data!$D:$D,D122,Data!$A:$A,"&lt;="&amp;End_Date)</f>
        <v>0</v>
      </c>
    </row>
    <row r="123" spans="4:8" ht="15" customHeight="1" x14ac:dyDescent="0.25">
      <c r="D123" t="s">
        <v>81</v>
      </c>
      <c r="F123" s="10" t="s">
        <v>160</v>
      </c>
      <c r="G123" s="10">
        <f>SUMIFS(Data!$F:$F,Data!$D:$D,D123,Data!$A:$A,"&lt;="&amp;End_Date)</f>
        <v>71000</v>
      </c>
      <c r="H123" s="10">
        <f>SUMIFS(Data!$G:$G,Data!$D:$D,D123,Data!$A:$A,"&lt;="&amp;End_Date)</f>
        <v>0</v>
      </c>
    </row>
    <row r="124" spans="4:8" ht="15" customHeight="1" x14ac:dyDescent="0.25">
      <c r="D124" t="s">
        <v>71</v>
      </c>
      <c r="F124" s="10" t="s">
        <v>160</v>
      </c>
      <c r="G124" s="10">
        <f>SUMIFS(Data!$F:$F,Data!$D:$D,D124,Data!$A:$A,"&lt;="&amp;End_Date)</f>
        <v>47000</v>
      </c>
      <c r="H124" s="10">
        <f>SUMIFS(Data!$G:$G,Data!$D:$D,D124,Data!$A:$A,"&lt;="&amp;End_Date)</f>
        <v>0</v>
      </c>
    </row>
    <row r="125" spans="4:8" ht="15" customHeight="1" x14ac:dyDescent="0.25">
      <c r="D125" t="s">
        <v>80</v>
      </c>
      <c r="F125" s="10" t="s">
        <v>160</v>
      </c>
      <c r="G125" s="10">
        <f>SUMIFS(Data!$F:$F,Data!$D:$D,D125,Data!$A:$A,"&lt;="&amp;End_Date)</f>
        <v>7500</v>
      </c>
      <c r="H125" s="10">
        <f>SUMIFS(Data!$G:$G,Data!$D:$D,D125,Data!$A:$A,"&lt;="&amp;End_Date)</f>
        <v>0</v>
      </c>
    </row>
    <row r="126" spans="4:8" ht="15" customHeight="1" x14ac:dyDescent="0.25">
      <c r="D126" t="s">
        <v>74</v>
      </c>
      <c r="F126" s="10" t="s">
        <v>160</v>
      </c>
      <c r="G126" s="10">
        <f>SUMIFS(Data!$F:$F,Data!$D:$D,D126,Data!$A:$A,"&lt;="&amp;End_Date)</f>
        <v>13000</v>
      </c>
      <c r="H126" s="10">
        <f>SUMIFS(Data!$G:$G,Data!$D:$D,D126,Data!$A:$A,"&lt;="&amp;End_Date)</f>
        <v>0</v>
      </c>
    </row>
    <row r="127" spans="4:8" ht="15" customHeight="1" x14ac:dyDescent="0.25">
      <c r="D127" t="s">
        <v>76</v>
      </c>
      <c r="F127" s="10" t="s">
        <v>160</v>
      </c>
      <c r="G127" s="10">
        <f>SUMIFS(Data!$F:$F,Data!$D:$D,D127,Data!$A:$A,"&lt;="&amp;End_Date)</f>
        <v>4100</v>
      </c>
      <c r="H127" s="10">
        <f>SUMIFS(Data!$G:$G,Data!$D:$D,D127,Data!$A:$A,"&lt;="&amp;End_Date)</f>
        <v>0</v>
      </c>
    </row>
    <row r="128" spans="4:8" ht="15" customHeight="1" x14ac:dyDescent="0.25">
      <c r="D128" t="s">
        <v>79</v>
      </c>
      <c r="F128" s="10" t="s">
        <v>160</v>
      </c>
      <c r="G128" s="10">
        <f>SUMIFS(Data!$F:$F,Data!$D:$D,D128,Data!$A:$A,"&lt;="&amp;End_Date)</f>
        <v>10500</v>
      </c>
      <c r="H128" s="10">
        <f>SUMIFS(Data!$G:$G,Data!$D:$D,D128,Data!$A:$A,"&lt;="&amp;End_Date)</f>
        <v>0</v>
      </c>
    </row>
    <row r="129" spans="4:8" ht="15" customHeight="1" x14ac:dyDescent="0.25">
      <c r="D129" t="s">
        <v>78</v>
      </c>
      <c r="F129" s="10" t="s">
        <v>160</v>
      </c>
      <c r="G129" s="10">
        <f>SUMIFS(Data!$F:$F,Data!$D:$D,D129,Data!$A:$A,"&lt;="&amp;End_Date)</f>
        <v>5500</v>
      </c>
      <c r="H129" s="10">
        <f>SUMIFS(Data!$G:$G,Data!$D:$D,D129,Data!$A:$A,"&lt;="&amp;End_Date)</f>
        <v>0</v>
      </c>
    </row>
    <row r="130" spans="4:8" ht="15" customHeight="1" x14ac:dyDescent="0.25">
      <c r="D130" t="s">
        <v>75</v>
      </c>
      <c r="F130" s="10" t="s">
        <v>160</v>
      </c>
      <c r="G130" s="10">
        <f>SUMIFS(Data!$F:$F,Data!$D:$D,D130,Data!$A:$A,"&lt;="&amp;End_Date)</f>
        <v>36000</v>
      </c>
      <c r="H130" s="10">
        <f>SUMIFS(Data!$G:$G,Data!$D:$D,D130,Data!$A:$A,"&lt;="&amp;End_Date)</f>
        <v>0</v>
      </c>
    </row>
    <row r="131" spans="4:8" ht="15" customHeight="1" x14ac:dyDescent="0.25">
      <c r="D131" t="s">
        <v>73</v>
      </c>
      <c r="F131" s="10" t="s">
        <v>160</v>
      </c>
      <c r="G131" s="10">
        <f>SUMIFS(Data!$F:$F,Data!$D:$D,D131,Data!$A:$A,"&lt;="&amp;End_Date)</f>
        <v>30600</v>
      </c>
      <c r="H131" s="10">
        <f>SUMIFS(Data!$G:$G,Data!$D:$D,D131,Data!$A:$A,"&lt;="&amp;End_Date)</f>
        <v>0</v>
      </c>
    </row>
    <row r="134" spans="4:8" ht="15.75" customHeight="1" x14ac:dyDescent="0.25"/>
    <row r="135" spans="4:8" ht="16.5" customHeight="1" x14ac:dyDescent="0.25">
      <c r="D135" s="47" t="s">
        <v>161</v>
      </c>
      <c r="E135" s="47"/>
      <c r="F135" s="48"/>
      <c r="G135" s="49">
        <f>SUM(G108:G134)</f>
        <v>4876200</v>
      </c>
      <c r="H135" s="49">
        <f>SUM(H108:H134)</f>
        <v>4876200</v>
      </c>
    </row>
    <row r="136" spans="4:8" ht="15" customHeight="1" x14ac:dyDescent="0.25">
      <c r="D136" s="8"/>
      <c r="G136" s="24">
        <f>G135-H135</f>
        <v>0</v>
      </c>
      <c r="H136" s="24">
        <f>0</f>
        <v>0</v>
      </c>
    </row>
  </sheetData>
  <mergeCells count="9">
    <mergeCell ref="C59:N59"/>
    <mergeCell ref="C60:N60"/>
    <mergeCell ref="C105:N105"/>
    <mergeCell ref="C106:N106"/>
    <mergeCell ref="E1:L1"/>
    <mergeCell ref="C7:N7"/>
    <mergeCell ref="C8:N8"/>
    <mergeCell ref="C38:N38"/>
    <mergeCell ref="C39:N39"/>
  </mergeCells>
  <dataValidations count="1">
    <dataValidation type="list" allowBlank="1" showInputMessage="1" showErrorMessage="1" sqref="N2:N3" xr:uid="{00000000-0002-0000-0200-000000000000}">
      <formula1>Years</formula1>
      <formula2>0</formula2>
    </dataValidation>
  </dataValidations>
  <pageMargins left="0.7" right="0.7" top="0.75" bottom="0.75" header="0.511811023622047" footer="0.511811023622047"/>
  <pageSetup scale="24"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4:G32"/>
  <sheetViews>
    <sheetView topLeftCell="B1" zoomScaleNormal="100" workbookViewId="0">
      <selection activeCell="M9" sqref="M9"/>
    </sheetView>
  </sheetViews>
  <sheetFormatPr defaultColWidth="8.7109375" defaultRowHeight="15" customHeight="1" x14ac:dyDescent="0.25"/>
  <sheetData>
    <row r="4" spans="4:7" ht="15" customHeight="1" x14ac:dyDescent="0.25">
      <c r="D4" s="86" t="s">
        <v>162</v>
      </c>
      <c r="E4" s="86"/>
    </row>
    <row r="5" spans="4:7" ht="15" customHeight="1" x14ac:dyDescent="0.25">
      <c r="D5" s="50" t="s">
        <v>163</v>
      </c>
      <c r="E5" s="50" t="s">
        <v>164</v>
      </c>
      <c r="G5" s="50" t="s">
        <v>165</v>
      </c>
    </row>
    <row r="6" spans="4:7" ht="15" customHeight="1" x14ac:dyDescent="0.25">
      <c r="D6" t="s">
        <v>88</v>
      </c>
      <c r="E6" t="s">
        <v>157</v>
      </c>
      <c r="G6" s="51">
        <v>2023</v>
      </c>
    </row>
    <row r="7" spans="4:7" ht="15" customHeight="1" x14ac:dyDescent="0.25">
      <c r="D7" t="s">
        <v>103</v>
      </c>
      <c r="E7" t="s">
        <v>159</v>
      </c>
      <c r="G7" s="52">
        <v>2024</v>
      </c>
    </row>
    <row r="8" spans="4:7" ht="15" customHeight="1" x14ac:dyDescent="0.25">
      <c r="D8" t="s">
        <v>98</v>
      </c>
      <c r="E8" t="s">
        <v>157</v>
      </c>
      <c r="G8" s="51">
        <v>2025</v>
      </c>
    </row>
    <row r="9" spans="4:7" ht="15" customHeight="1" x14ac:dyDescent="0.25">
      <c r="D9" t="s">
        <v>90</v>
      </c>
      <c r="E9" t="s">
        <v>157</v>
      </c>
      <c r="G9" s="52"/>
    </row>
    <row r="10" spans="4:7" ht="15" customHeight="1" x14ac:dyDescent="0.25">
      <c r="D10" t="s">
        <v>63</v>
      </c>
      <c r="E10" t="s">
        <v>60</v>
      </c>
      <c r="G10" s="51"/>
    </row>
    <row r="11" spans="4:7" ht="15" customHeight="1" x14ac:dyDescent="0.25">
      <c r="D11" t="s">
        <v>77</v>
      </c>
      <c r="E11" t="s">
        <v>66</v>
      </c>
      <c r="G11" s="52"/>
    </row>
    <row r="12" spans="4:7" ht="15" customHeight="1" x14ac:dyDescent="0.25">
      <c r="D12" t="s">
        <v>97</v>
      </c>
      <c r="E12" t="s">
        <v>158</v>
      </c>
      <c r="G12" s="51"/>
    </row>
    <row r="13" spans="4:7" ht="15" customHeight="1" x14ac:dyDescent="0.25">
      <c r="D13" t="s">
        <v>92</v>
      </c>
      <c r="E13" t="s">
        <v>157</v>
      </c>
      <c r="G13" s="52"/>
    </row>
    <row r="14" spans="4:7" ht="15" customHeight="1" x14ac:dyDescent="0.25">
      <c r="D14" t="s">
        <v>89</v>
      </c>
      <c r="E14" t="s">
        <v>158</v>
      </c>
      <c r="G14" s="51"/>
    </row>
    <row r="15" spans="4:7" ht="15" customHeight="1" x14ac:dyDescent="0.25">
      <c r="D15" t="s">
        <v>72</v>
      </c>
      <c r="E15" t="s">
        <v>66</v>
      </c>
      <c r="G15" s="52"/>
    </row>
    <row r="16" spans="4:7" ht="15" customHeight="1" x14ac:dyDescent="0.25">
      <c r="D16" t="s">
        <v>73</v>
      </c>
      <c r="E16" t="s">
        <v>160</v>
      </c>
      <c r="G16" s="51"/>
    </row>
    <row r="17" spans="4:7" ht="15" customHeight="1" x14ac:dyDescent="0.25">
      <c r="D17" t="s">
        <v>166</v>
      </c>
      <c r="E17" t="s">
        <v>157</v>
      </c>
      <c r="G17" s="52"/>
    </row>
    <row r="18" spans="4:7" ht="15" customHeight="1" x14ac:dyDescent="0.25">
      <c r="D18" t="s">
        <v>61</v>
      </c>
      <c r="E18" t="s">
        <v>60</v>
      </c>
      <c r="G18" s="51"/>
    </row>
    <row r="19" spans="4:7" ht="15" customHeight="1" x14ac:dyDescent="0.25">
      <c r="D19" t="s">
        <v>81</v>
      </c>
      <c r="E19" t="s">
        <v>160</v>
      </c>
      <c r="G19" s="52"/>
    </row>
    <row r="20" spans="4:7" ht="15" customHeight="1" x14ac:dyDescent="0.25">
      <c r="D20" t="s">
        <v>167</v>
      </c>
      <c r="E20" t="s">
        <v>157</v>
      </c>
    </row>
    <row r="21" spans="4:7" ht="15" customHeight="1" x14ac:dyDescent="0.25">
      <c r="D21" t="s">
        <v>71</v>
      </c>
      <c r="E21" t="s">
        <v>160</v>
      </c>
    </row>
    <row r="22" spans="4:7" ht="15" customHeight="1" x14ac:dyDescent="0.25">
      <c r="D22" t="s">
        <v>91</v>
      </c>
      <c r="E22" t="s">
        <v>158</v>
      </c>
    </row>
    <row r="23" spans="4:7" ht="15" customHeight="1" x14ac:dyDescent="0.25">
      <c r="D23" t="s">
        <v>80</v>
      </c>
      <c r="E23" t="s">
        <v>160</v>
      </c>
    </row>
    <row r="24" spans="4:7" ht="15" customHeight="1" x14ac:dyDescent="0.25">
      <c r="D24" t="s">
        <v>74</v>
      </c>
      <c r="E24" t="s">
        <v>160</v>
      </c>
    </row>
    <row r="25" spans="4:7" ht="15" customHeight="1" x14ac:dyDescent="0.25">
      <c r="D25" t="s">
        <v>168</v>
      </c>
      <c r="E25" t="s">
        <v>60</v>
      </c>
    </row>
    <row r="26" spans="4:7" ht="15" customHeight="1" x14ac:dyDescent="0.25">
      <c r="D26" t="s">
        <v>75</v>
      </c>
      <c r="E26" t="s">
        <v>60</v>
      </c>
    </row>
    <row r="27" spans="4:7" ht="15" customHeight="1" x14ac:dyDescent="0.25">
      <c r="D27" t="s">
        <v>64</v>
      </c>
      <c r="E27" t="s">
        <v>60</v>
      </c>
    </row>
    <row r="28" spans="4:7" ht="15" customHeight="1" x14ac:dyDescent="0.25">
      <c r="D28" t="s">
        <v>79</v>
      </c>
      <c r="E28" t="s">
        <v>160</v>
      </c>
    </row>
    <row r="29" spans="4:7" ht="15" customHeight="1" x14ac:dyDescent="0.25">
      <c r="D29" t="s">
        <v>169</v>
      </c>
      <c r="E29" t="s">
        <v>160</v>
      </c>
    </row>
    <row r="30" spans="4:7" ht="15" customHeight="1" x14ac:dyDescent="0.25">
      <c r="D30" t="s">
        <v>78</v>
      </c>
      <c r="E30" t="s">
        <v>160</v>
      </c>
    </row>
    <row r="31" spans="4:7" ht="15" customHeight="1" x14ac:dyDescent="0.25">
      <c r="D31" t="s">
        <v>62</v>
      </c>
      <c r="E31" t="s">
        <v>60</v>
      </c>
    </row>
    <row r="32" spans="4:7" ht="15" customHeight="1" x14ac:dyDescent="0.25">
      <c r="D32" t="s">
        <v>170</v>
      </c>
      <c r="E32" t="s">
        <v>66</v>
      </c>
    </row>
  </sheetData>
  <mergeCells count="1">
    <mergeCell ref="D4:E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141"/>
  <sheetViews>
    <sheetView topLeftCell="U1" zoomScaleNormal="100" workbookViewId="0">
      <pane ySplit="1" topLeftCell="A2" activePane="bottomLeft" state="frozen"/>
      <selection activeCell="U1" sqref="U1"/>
      <selection pane="bottomLeft" activeCell="AD1" sqref="AD1"/>
    </sheetView>
  </sheetViews>
  <sheetFormatPr defaultColWidth="8.7109375" defaultRowHeight="15" customHeight="1" x14ac:dyDescent="0.25"/>
  <cols>
    <col min="1" max="1" width="14" customWidth="1"/>
    <col min="2" max="2" width="31" customWidth="1"/>
    <col min="3" max="3" width="15" customWidth="1"/>
    <col min="4" max="4" width="28" customWidth="1"/>
    <col min="5" max="5" width="22" customWidth="1"/>
    <col min="6" max="7" width="15" customWidth="1"/>
    <col min="8" max="8" width="13" customWidth="1"/>
    <col min="9" max="9" width="18" customWidth="1"/>
    <col min="11" max="11" width="30" customWidth="1"/>
    <col min="12" max="12" width="18" customWidth="1"/>
    <col min="15" max="15" width="14.28515625" customWidth="1"/>
    <col min="16" max="16" width="20.5703125" customWidth="1"/>
    <col min="19" max="19" width="18.28515625" customWidth="1"/>
    <col min="20" max="20" width="18.140625" customWidth="1"/>
    <col min="22" max="22" width="22.85546875" customWidth="1"/>
    <col min="23" max="23" width="18.28515625" customWidth="1"/>
    <col min="25" max="25" width="33.5703125" customWidth="1"/>
    <col min="26" max="26" width="33.28515625" customWidth="1"/>
    <col min="27" max="27" width="28" customWidth="1"/>
    <col min="30" max="30" width="20.5703125" customWidth="1"/>
    <col min="32" max="32" width="12.85546875" customWidth="1"/>
  </cols>
  <sheetData>
    <row r="1" spans="1:32" ht="24" customHeight="1" x14ac:dyDescent="0.25">
      <c r="A1" s="53" t="s">
        <v>171</v>
      </c>
      <c r="B1" s="53" t="s">
        <v>172</v>
      </c>
      <c r="C1" s="53" t="s">
        <v>173</v>
      </c>
      <c r="D1" s="54" t="s">
        <v>153</v>
      </c>
      <c r="E1" s="55" t="s">
        <v>174</v>
      </c>
      <c r="F1" s="56" t="s">
        <v>155</v>
      </c>
      <c r="G1" s="56" t="s">
        <v>156</v>
      </c>
      <c r="H1" s="55" t="s">
        <v>175</v>
      </c>
      <c r="I1" s="53" t="s">
        <v>176</v>
      </c>
      <c r="K1" t="s">
        <v>153</v>
      </c>
      <c r="L1" t="s">
        <v>154</v>
      </c>
      <c r="O1" t="s">
        <v>59</v>
      </c>
      <c r="S1" t="s">
        <v>85</v>
      </c>
      <c r="Y1" t="s">
        <v>109</v>
      </c>
      <c r="AD1" t="s">
        <v>177</v>
      </c>
    </row>
    <row r="2" spans="1:32" ht="15" customHeight="1" x14ac:dyDescent="0.25">
      <c r="A2" s="57">
        <v>44927</v>
      </c>
      <c r="B2" t="s">
        <v>143</v>
      </c>
      <c r="C2" s="58" t="s">
        <v>157</v>
      </c>
      <c r="D2" s="59" t="s">
        <v>88</v>
      </c>
      <c r="E2" s="60" t="s">
        <v>178</v>
      </c>
      <c r="F2" s="61">
        <v>50000</v>
      </c>
      <c r="G2" s="61"/>
      <c r="H2" s="62" t="s">
        <v>179</v>
      </c>
      <c r="I2" s="63">
        <f t="shared" ref="I2:I65" si="0">SUMIF($H:$H,H2,$F:$F)-SUMIF($H:$H,H2,$G:$G)</f>
        <v>0</v>
      </c>
      <c r="K2" t="s">
        <v>88</v>
      </c>
      <c r="L2" t="s">
        <v>157</v>
      </c>
      <c r="M2" s="64"/>
      <c r="O2" t="s">
        <v>60</v>
      </c>
      <c r="S2" t="s">
        <v>86</v>
      </c>
      <c r="V2" t="s">
        <v>87</v>
      </c>
      <c r="Y2" t="s">
        <v>180</v>
      </c>
      <c r="AD2" t="s">
        <v>153</v>
      </c>
      <c r="AF2" t="s">
        <v>154</v>
      </c>
    </row>
    <row r="3" spans="1:32" ht="15" customHeight="1" x14ac:dyDescent="0.25">
      <c r="A3" s="57">
        <v>44927</v>
      </c>
      <c r="B3" t="s">
        <v>143</v>
      </c>
      <c r="C3" s="58" t="s">
        <v>159</v>
      </c>
      <c r="D3" s="65" t="s">
        <v>103</v>
      </c>
      <c r="E3" s="66"/>
      <c r="F3" s="67"/>
      <c r="G3" s="67">
        <v>50000</v>
      </c>
      <c r="H3" s="68" t="s">
        <v>179</v>
      </c>
      <c r="I3" s="63">
        <f t="shared" si="0"/>
        <v>0</v>
      </c>
      <c r="K3" t="s">
        <v>90</v>
      </c>
      <c r="L3" t="s">
        <v>157</v>
      </c>
      <c r="M3" s="64"/>
      <c r="P3" t="s">
        <v>61</v>
      </c>
      <c r="T3" t="s">
        <v>167</v>
      </c>
      <c r="W3" t="s">
        <v>89</v>
      </c>
      <c r="Y3" t="s">
        <v>111</v>
      </c>
      <c r="AD3" t="s">
        <v>88</v>
      </c>
      <c r="AF3" t="s">
        <v>157</v>
      </c>
    </row>
    <row r="4" spans="1:32" ht="15" customHeight="1" x14ac:dyDescent="0.25">
      <c r="A4" s="57">
        <v>44928</v>
      </c>
      <c r="B4" t="s">
        <v>181</v>
      </c>
      <c r="C4" s="58" t="s">
        <v>157</v>
      </c>
      <c r="D4" s="59" t="s">
        <v>90</v>
      </c>
      <c r="E4" s="60"/>
      <c r="F4" s="61">
        <v>20000</v>
      </c>
      <c r="G4" s="61"/>
      <c r="H4" s="62" t="s">
        <v>182</v>
      </c>
      <c r="I4" s="63">
        <f t="shared" si="0"/>
        <v>0</v>
      </c>
      <c r="K4" t="s">
        <v>92</v>
      </c>
      <c r="L4" t="s">
        <v>157</v>
      </c>
      <c r="M4" s="64"/>
      <c r="P4" t="s">
        <v>62</v>
      </c>
      <c r="T4" t="s">
        <v>88</v>
      </c>
      <c r="W4" t="s">
        <v>91</v>
      </c>
      <c r="Z4" t="s">
        <v>112</v>
      </c>
      <c r="AD4" t="s">
        <v>103</v>
      </c>
      <c r="AF4" t="s">
        <v>157</v>
      </c>
    </row>
    <row r="5" spans="1:32" ht="15" customHeight="1" x14ac:dyDescent="0.25">
      <c r="A5" s="57">
        <v>44928</v>
      </c>
      <c r="B5" t="s">
        <v>181</v>
      </c>
      <c r="C5" s="58" t="s">
        <v>60</v>
      </c>
      <c r="D5" s="65" t="s">
        <v>63</v>
      </c>
      <c r="E5" s="66"/>
      <c r="F5" s="67"/>
      <c r="G5" s="67">
        <v>20000</v>
      </c>
      <c r="H5" s="68" t="s">
        <v>182</v>
      </c>
      <c r="I5" s="63">
        <f t="shared" si="0"/>
        <v>0</v>
      </c>
      <c r="K5" t="s">
        <v>98</v>
      </c>
      <c r="L5" t="s">
        <v>157</v>
      </c>
      <c r="M5" s="64"/>
      <c r="P5" t="s">
        <v>63</v>
      </c>
      <c r="T5" t="s">
        <v>92</v>
      </c>
      <c r="V5" t="s">
        <v>183</v>
      </c>
      <c r="AA5" t="s">
        <v>113</v>
      </c>
      <c r="AD5" t="s">
        <v>98</v>
      </c>
      <c r="AF5" t="s">
        <v>157</v>
      </c>
    </row>
    <row r="6" spans="1:32" ht="15" customHeight="1" x14ac:dyDescent="0.25">
      <c r="A6" s="57">
        <v>44929</v>
      </c>
      <c r="B6" t="s">
        <v>184</v>
      </c>
      <c r="C6" s="58" t="s">
        <v>157</v>
      </c>
      <c r="D6" s="59" t="s">
        <v>92</v>
      </c>
      <c r="E6" s="60"/>
      <c r="F6" s="61">
        <v>16500</v>
      </c>
      <c r="G6" s="61"/>
      <c r="H6" s="62" t="s">
        <v>185</v>
      </c>
      <c r="I6" s="63">
        <f t="shared" si="0"/>
        <v>0</v>
      </c>
      <c r="K6" t="s">
        <v>100</v>
      </c>
      <c r="L6" t="s">
        <v>157</v>
      </c>
      <c r="M6" s="64"/>
      <c r="P6" t="s">
        <v>64</v>
      </c>
      <c r="S6" t="s">
        <v>186</v>
      </c>
      <c r="AA6" t="s">
        <v>114</v>
      </c>
      <c r="AD6" t="s">
        <v>90</v>
      </c>
      <c r="AF6" t="s">
        <v>157</v>
      </c>
    </row>
    <row r="7" spans="1:32" ht="15" customHeight="1" x14ac:dyDescent="0.25">
      <c r="A7" s="57">
        <v>44929</v>
      </c>
      <c r="B7" t="s">
        <v>184</v>
      </c>
      <c r="C7" s="58" t="s">
        <v>158</v>
      </c>
      <c r="D7" s="65" t="s">
        <v>89</v>
      </c>
      <c r="E7" s="66"/>
      <c r="F7" s="67"/>
      <c r="G7" s="67">
        <v>16500</v>
      </c>
      <c r="H7" s="68" t="s">
        <v>185</v>
      </c>
      <c r="I7" s="63">
        <f t="shared" si="0"/>
        <v>0</v>
      </c>
      <c r="K7" t="s">
        <v>89</v>
      </c>
      <c r="L7" t="s">
        <v>158</v>
      </c>
      <c r="M7" s="64"/>
      <c r="O7" t="s">
        <v>65</v>
      </c>
      <c r="V7" t="s">
        <v>95</v>
      </c>
      <c r="AA7" t="s">
        <v>115</v>
      </c>
      <c r="AD7" t="s">
        <v>92</v>
      </c>
      <c r="AF7" t="s">
        <v>157</v>
      </c>
    </row>
    <row r="8" spans="1:32" ht="15" customHeight="1" x14ac:dyDescent="0.25">
      <c r="A8" s="57">
        <v>44930</v>
      </c>
      <c r="B8" t="s">
        <v>122</v>
      </c>
      <c r="C8" s="58" t="s">
        <v>158</v>
      </c>
      <c r="D8" s="59" t="s">
        <v>89</v>
      </c>
      <c r="E8" s="60"/>
      <c r="F8" s="61">
        <v>0</v>
      </c>
      <c r="G8" s="61"/>
      <c r="H8" s="62" t="s">
        <v>187</v>
      </c>
      <c r="I8" s="63">
        <f t="shared" si="0"/>
        <v>0</v>
      </c>
      <c r="K8" t="s">
        <v>97</v>
      </c>
      <c r="L8" t="s">
        <v>158</v>
      </c>
      <c r="M8" s="64"/>
      <c r="O8" t="s">
        <v>66</v>
      </c>
      <c r="S8" t="s">
        <v>96</v>
      </c>
      <c r="W8" t="s">
        <v>97</v>
      </c>
      <c r="Z8" t="s">
        <v>116</v>
      </c>
      <c r="AD8" t="s">
        <v>166</v>
      </c>
      <c r="AF8" t="s">
        <v>157</v>
      </c>
    </row>
    <row r="9" spans="1:32" ht="15" customHeight="1" x14ac:dyDescent="0.25">
      <c r="A9" s="57">
        <v>44930</v>
      </c>
      <c r="B9" t="s">
        <v>122</v>
      </c>
      <c r="C9" s="58" t="s">
        <v>157</v>
      </c>
      <c r="D9" s="65" t="s">
        <v>88</v>
      </c>
      <c r="E9" s="66" t="s">
        <v>188</v>
      </c>
      <c r="F9" s="67"/>
      <c r="G9" s="67">
        <v>0</v>
      </c>
      <c r="H9" s="68" t="s">
        <v>187</v>
      </c>
      <c r="I9" s="63">
        <f t="shared" si="0"/>
        <v>0</v>
      </c>
      <c r="K9" t="s">
        <v>103</v>
      </c>
      <c r="L9" t="s">
        <v>159</v>
      </c>
      <c r="M9" s="64"/>
      <c r="P9" t="s">
        <v>170</v>
      </c>
      <c r="T9" t="s">
        <v>98</v>
      </c>
      <c r="V9" t="s">
        <v>189</v>
      </c>
      <c r="Z9" t="s">
        <v>117</v>
      </c>
      <c r="AD9" t="s">
        <v>167</v>
      </c>
      <c r="AF9" t="s">
        <v>157</v>
      </c>
    </row>
    <row r="10" spans="1:32" ht="15" customHeight="1" x14ac:dyDescent="0.25">
      <c r="A10" s="57">
        <v>44931</v>
      </c>
      <c r="B10" t="s">
        <v>115</v>
      </c>
      <c r="C10" s="58" t="s">
        <v>157</v>
      </c>
      <c r="D10" s="59" t="s">
        <v>88</v>
      </c>
      <c r="E10" s="60" t="s">
        <v>190</v>
      </c>
      <c r="F10" s="61">
        <v>16000</v>
      </c>
      <c r="G10" s="61"/>
      <c r="H10" s="62" t="s">
        <v>191</v>
      </c>
      <c r="I10" s="63">
        <f t="shared" si="0"/>
        <v>0</v>
      </c>
      <c r="K10" t="s">
        <v>63</v>
      </c>
      <c r="L10" t="s">
        <v>60</v>
      </c>
      <c r="M10" s="64"/>
      <c r="P10" t="s">
        <v>72</v>
      </c>
      <c r="T10" t="s">
        <v>166</v>
      </c>
      <c r="AA10" t="s">
        <v>118</v>
      </c>
      <c r="AD10" t="s">
        <v>77</v>
      </c>
      <c r="AF10" t="s">
        <v>66</v>
      </c>
    </row>
    <row r="11" spans="1:32" ht="15" customHeight="1" x14ac:dyDescent="0.25">
      <c r="A11" s="57">
        <v>44931</v>
      </c>
      <c r="B11" t="s">
        <v>115</v>
      </c>
      <c r="C11" s="58" t="s">
        <v>60</v>
      </c>
      <c r="D11" s="65" t="s">
        <v>63</v>
      </c>
      <c r="E11" s="66"/>
      <c r="F11" s="67"/>
      <c r="G11" s="67">
        <v>16000</v>
      </c>
      <c r="H11" s="68" t="s">
        <v>191</v>
      </c>
      <c r="I11" s="63">
        <f t="shared" si="0"/>
        <v>0</v>
      </c>
      <c r="K11" t="s">
        <v>61</v>
      </c>
      <c r="L11" t="s">
        <v>60</v>
      </c>
      <c r="M11" s="64"/>
      <c r="O11" t="s">
        <v>68</v>
      </c>
      <c r="S11" t="s">
        <v>192</v>
      </c>
      <c r="V11" t="s">
        <v>102</v>
      </c>
      <c r="AA11" t="s">
        <v>119</v>
      </c>
      <c r="AD11" t="s">
        <v>72</v>
      </c>
      <c r="AF11" t="s">
        <v>66</v>
      </c>
    </row>
    <row r="12" spans="1:32" ht="15" customHeight="1" x14ac:dyDescent="0.25">
      <c r="A12" s="57">
        <v>44932</v>
      </c>
      <c r="B12" t="s">
        <v>113</v>
      </c>
      <c r="C12" s="58" t="s">
        <v>157</v>
      </c>
      <c r="D12" s="59" t="s">
        <v>88</v>
      </c>
      <c r="E12" s="60" t="s">
        <v>190</v>
      </c>
      <c r="F12" s="61">
        <v>6000</v>
      </c>
      <c r="G12" s="61"/>
      <c r="H12" s="62" t="s">
        <v>193</v>
      </c>
      <c r="I12" s="63">
        <f t="shared" si="0"/>
        <v>0</v>
      </c>
      <c r="K12" t="s">
        <v>64</v>
      </c>
      <c r="L12" t="s">
        <v>60</v>
      </c>
      <c r="M12" s="64"/>
      <c r="O12" t="s">
        <v>69</v>
      </c>
      <c r="W12" t="s">
        <v>103</v>
      </c>
      <c r="AA12" t="s">
        <v>120</v>
      </c>
      <c r="AD12" t="s">
        <v>170</v>
      </c>
      <c r="AF12" t="s">
        <v>66</v>
      </c>
    </row>
    <row r="13" spans="1:32" ht="15" customHeight="1" x14ac:dyDescent="0.25">
      <c r="A13" s="57">
        <v>44932</v>
      </c>
      <c r="B13" t="s">
        <v>113</v>
      </c>
      <c r="C13" s="58" t="s">
        <v>60</v>
      </c>
      <c r="D13" s="65" t="s">
        <v>61</v>
      </c>
      <c r="E13" s="66"/>
      <c r="F13" s="67"/>
      <c r="G13" s="67">
        <v>6000</v>
      </c>
      <c r="H13" s="68" t="s">
        <v>193</v>
      </c>
      <c r="I13" s="63">
        <f t="shared" si="0"/>
        <v>0</v>
      </c>
      <c r="K13" t="s">
        <v>62</v>
      </c>
      <c r="L13" t="s">
        <v>60</v>
      </c>
      <c r="M13" s="64"/>
      <c r="O13" t="s">
        <v>70</v>
      </c>
      <c r="W13" t="s">
        <v>104</v>
      </c>
      <c r="AA13" t="s">
        <v>121</v>
      </c>
      <c r="AD13" t="s">
        <v>73</v>
      </c>
      <c r="AF13" t="s">
        <v>160</v>
      </c>
    </row>
    <row r="14" spans="1:32" ht="15" customHeight="1" x14ac:dyDescent="0.25">
      <c r="A14" s="57">
        <v>44933</v>
      </c>
      <c r="B14" t="s">
        <v>194</v>
      </c>
      <c r="C14" s="58" t="s">
        <v>157</v>
      </c>
      <c r="D14" s="59" t="s">
        <v>90</v>
      </c>
      <c r="E14" s="60"/>
      <c r="F14" s="61">
        <v>9000</v>
      </c>
      <c r="G14" s="61"/>
      <c r="H14" s="62" t="s">
        <v>195</v>
      </c>
      <c r="I14" s="63">
        <f t="shared" si="0"/>
        <v>0</v>
      </c>
      <c r="K14" t="s">
        <v>67</v>
      </c>
      <c r="L14" t="s">
        <v>160</v>
      </c>
      <c r="M14" s="64"/>
      <c r="P14" t="s">
        <v>71</v>
      </c>
      <c r="V14" t="s">
        <v>105</v>
      </c>
      <c r="AA14" t="s">
        <v>122</v>
      </c>
      <c r="AD14" t="s">
        <v>81</v>
      </c>
      <c r="AF14" t="s">
        <v>160</v>
      </c>
    </row>
    <row r="15" spans="1:32" ht="15" customHeight="1" x14ac:dyDescent="0.25">
      <c r="A15" s="57">
        <v>44933</v>
      </c>
      <c r="B15" t="s">
        <v>194</v>
      </c>
      <c r="C15" s="58" t="s">
        <v>60</v>
      </c>
      <c r="D15" s="65" t="s">
        <v>64</v>
      </c>
      <c r="E15" s="66"/>
      <c r="F15" s="67"/>
      <c r="G15" s="67">
        <v>9000</v>
      </c>
      <c r="H15" s="68" t="s">
        <v>195</v>
      </c>
      <c r="I15" s="63">
        <f t="shared" si="0"/>
        <v>0</v>
      </c>
      <c r="K15" t="s">
        <v>72</v>
      </c>
      <c r="L15" t="s">
        <v>160</v>
      </c>
      <c r="M15" s="64"/>
      <c r="P15" t="s">
        <v>169</v>
      </c>
      <c r="AA15" t="s">
        <v>196</v>
      </c>
      <c r="AD15" t="s">
        <v>71</v>
      </c>
      <c r="AF15" t="s">
        <v>160</v>
      </c>
    </row>
    <row r="16" spans="1:32" ht="15" customHeight="1" x14ac:dyDescent="0.25">
      <c r="A16" s="57">
        <v>44934</v>
      </c>
      <c r="B16" t="s">
        <v>114</v>
      </c>
      <c r="C16" s="58" t="s">
        <v>157</v>
      </c>
      <c r="D16" s="59" t="s">
        <v>88</v>
      </c>
      <c r="E16" s="60" t="s">
        <v>190</v>
      </c>
      <c r="F16" s="61">
        <v>19000</v>
      </c>
      <c r="G16" s="61"/>
      <c r="H16" s="62" t="s">
        <v>197</v>
      </c>
      <c r="I16" s="63">
        <f t="shared" si="0"/>
        <v>0</v>
      </c>
      <c r="K16" t="s">
        <v>77</v>
      </c>
      <c r="L16" t="s">
        <v>160</v>
      </c>
      <c r="M16" s="64"/>
      <c r="P16" t="s">
        <v>73</v>
      </c>
      <c r="AA16" t="s">
        <v>123</v>
      </c>
      <c r="AD16" t="s">
        <v>80</v>
      </c>
      <c r="AF16" t="s">
        <v>160</v>
      </c>
    </row>
    <row r="17" spans="1:32" ht="15" customHeight="1" x14ac:dyDescent="0.25">
      <c r="A17" s="57">
        <v>44934</v>
      </c>
      <c r="B17" t="s">
        <v>114</v>
      </c>
      <c r="C17" s="58" t="s">
        <v>157</v>
      </c>
      <c r="D17" s="65" t="s">
        <v>90</v>
      </c>
      <c r="E17" s="66"/>
      <c r="F17" s="67"/>
      <c r="G17" s="67">
        <v>19000</v>
      </c>
      <c r="H17" s="68" t="s">
        <v>197</v>
      </c>
      <c r="I17" s="63">
        <f t="shared" si="0"/>
        <v>0</v>
      </c>
      <c r="K17" t="s">
        <v>81</v>
      </c>
      <c r="L17" t="s">
        <v>160</v>
      </c>
      <c r="M17" s="64"/>
      <c r="P17" t="s">
        <v>74</v>
      </c>
      <c r="AA17" t="s">
        <v>124</v>
      </c>
      <c r="AD17" t="s">
        <v>74</v>
      </c>
      <c r="AF17" t="s">
        <v>160</v>
      </c>
    </row>
    <row r="18" spans="1:32" ht="15" customHeight="1" x14ac:dyDescent="0.25">
      <c r="A18" s="57">
        <v>44935</v>
      </c>
      <c r="B18" t="s">
        <v>118</v>
      </c>
      <c r="C18" s="58" t="s">
        <v>160</v>
      </c>
      <c r="D18" s="59" t="s">
        <v>77</v>
      </c>
      <c r="E18" s="60"/>
      <c r="F18" s="61">
        <v>4500</v>
      </c>
      <c r="G18" s="61"/>
      <c r="H18" s="62" t="s">
        <v>198</v>
      </c>
      <c r="I18" s="63">
        <f t="shared" si="0"/>
        <v>0</v>
      </c>
      <c r="K18" t="s">
        <v>71</v>
      </c>
      <c r="L18" t="s">
        <v>160</v>
      </c>
      <c r="M18" s="64"/>
      <c r="P18" t="s">
        <v>75</v>
      </c>
      <c r="AA18" t="s">
        <v>125</v>
      </c>
      <c r="AD18" t="s">
        <v>79</v>
      </c>
      <c r="AF18" t="s">
        <v>160</v>
      </c>
    </row>
    <row r="19" spans="1:32" ht="15" customHeight="1" x14ac:dyDescent="0.25">
      <c r="A19" s="57">
        <v>44935</v>
      </c>
      <c r="B19" t="s">
        <v>118</v>
      </c>
      <c r="C19" s="58" t="s">
        <v>157</v>
      </c>
      <c r="D19" s="65" t="s">
        <v>88</v>
      </c>
      <c r="E19" s="66" t="s">
        <v>188</v>
      </c>
      <c r="F19" s="67"/>
      <c r="G19" s="67">
        <v>4500</v>
      </c>
      <c r="H19" s="68" t="s">
        <v>198</v>
      </c>
      <c r="I19" s="63">
        <f t="shared" si="0"/>
        <v>0</v>
      </c>
      <c r="K19" t="s">
        <v>80</v>
      </c>
      <c r="L19" t="s">
        <v>160</v>
      </c>
      <c r="M19" s="64"/>
      <c r="P19" t="s">
        <v>168</v>
      </c>
      <c r="AA19" t="s">
        <v>126</v>
      </c>
      <c r="AD19" t="s">
        <v>169</v>
      </c>
      <c r="AF19" t="s">
        <v>160</v>
      </c>
    </row>
    <row r="20" spans="1:32" ht="15" customHeight="1" x14ac:dyDescent="0.25">
      <c r="A20" s="57">
        <v>44936</v>
      </c>
      <c r="B20" t="s">
        <v>119</v>
      </c>
      <c r="C20" s="58" t="s">
        <v>160</v>
      </c>
      <c r="D20" s="59" t="s">
        <v>72</v>
      </c>
      <c r="E20" s="60"/>
      <c r="F20" s="61">
        <v>7000</v>
      </c>
      <c r="G20" s="61"/>
      <c r="H20" s="62" t="s">
        <v>199</v>
      </c>
      <c r="I20" s="63">
        <f t="shared" si="0"/>
        <v>0</v>
      </c>
      <c r="K20" t="s">
        <v>74</v>
      </c>
      <c r="L20" t="s">
        <v>160</v>
      </c>
      <c r="M20" s="64"/>
      <c r="P20" t="s">
        <v>77</v>
      </c>
      <c r="AA20" t="s">
        <v>127</v>
      </c>
      <c r="AD20" t="s">
        <v>78</v>
      </c>
      <c r="AF20" t="s">
        <v>160</v>
      </c>
    </row>
    <row r="21" spans="1:32" ht="15" customHeight="1" x14ac:dyDescent="0.25">
      <c r="A21" s="57">
        <v>44936</v>
      </c>
      <c r="B21" t="s">
        <v>119</v>
      </c>
      <c r="C21" s="58" t="s">
        <v>157</v>
      </c>
      <c r="D21" s="65" t="s">
        <v>88</v>
      </c>
      <c r="E21" s="66" t="s">
        <v>188</v>
      </c>
      <c r="F21" s="67"/>
      <c r="G21" s="67">
        <v>7000</v>
      </c>
      <c r="H21" s="68" t="s">
        <v>199</v>
      </c>
      <c r="I21" s="63">
        <f t="shared" si="0"/>
        <v>0</v>
      </c>
      <c r="K21" t="s">
        <v>76</v>
      </c>
      <c r="L21" t="s">
        <v>160</v>
      </c>
      <c r="M21" s="64"/>
      <c r="P21" t="s">
        <v>78</v>
      </c>
      <c r="Z21" t="s">
        <v>129</v>
      </c>
      <c r="AD21" t="s">
        <v>63</v>
      </c>
      <c r="AF21" t="s">
        <v>60</v>
      </c>
    </row>
    <row r="22" spans="1:32" ht="15" customHeight="1" x14ac:dyDescent="0.25">
      <c r="A22" s="57">
        <v>44937</v>
      </c>
      <c r="B22" t="s">
        <v>120</v>
      </c>
      <c r="C22" s="58" t="s">
        <v>160</v>
      </c>
      <c r="D22" s="59" t="s">
        <v>81</v>
      </c>
      <c r="E22" s="60"/>
      <c r="F22" s="61">
        <v>2000</v>
      </c>
      <c r="G22" s="61"/>
      <c r="H22" s="62" t="s">
        <v>200</v>
      </c>
      <c r="I22" s="63">
        <f t="shared" si="0"/>
        <v>0</v>
      </c>
      <c r="K22" t="s">
        <v>79</v>
      </c>
      <c r="L22" t="s">
        <v>160</v>
      </c>
      <c r="M22" s="64"/>
      <c r="P22" t="s">
        <v>79</v>
      </c>
      <c r="Y22" t="s">
        <v>130</v>
      </c>
      <c r="AD22" t="s">
        <v>61</v>
      </c>
      <c r="AF22" t="s">
        <v>60</v>
      </c>
    </row>
    <row r="23" spans="1:32" ht="15" customHeight="1" x14ac:dyDescent="0.25">
      <c r="A23" s="57">
        <v>44937</v>
      </c>
      <c r="B23" t="s">
        <v>120</v>
      </c>
      <c r="C23" s="58" t="s">
        <v>157</v>
      </c>
      <c r="D23" s="65" t="s">
        <v>88</v>
      </c>
      <c r="E23" s="66" t="s">
        <v>188</v>
      </c>
      <c r="F23" s="67"/>
      <c r="G23" s="67">
        <v>2000</v>
      </c>
      <c r="H23" s="68" t="s">
        <v>200</v>
      </c>
      <c r="I23" s="63">
        <f t="shared" si="0"/>
        <v>0</v>
      </c>
      <c r="K23" t="s">
        <v>78</v>
      </c>
      <c r="L23" t="s">
        <v>160</v>
      </c>
      <c r="M23" s="64"/>
      <c r="P23" t="s">
        <v>80</v>
      </c>
      <c r="AD23" t="s">
        <v>168</v>
      </c>
      <c r="AF23" t="s">
        <v>60</v>
      </c>
    </row>
    <row r="24" spans="1:32" ht="15" customHeight="1" x14ac:dyDescent="0.25">
      <c r="A24" s="57">
        <v>44938</v>
      </c>
      <c r="B24" t="s">
        <v>121</v>
      </c>
      <c r="C24" s="58" t="s">
        <v>160</v>
      </c>
      <c r="D24" s="59" t="s">
        <v>71</v>
      </c>
      <c r="E24" s="60"/>
      <c r="F24" s="61">
        <v>1500</v>
      </c>
      <c r="G24" s="61"/>
      <c r="H24" s="62" t="s">
        <v>201</v>
      </c>
      <c r="I24" s="63">
        <f t="shared" si="0"/>
        <v>0</v>
      </c>
      <c r="K24" t="s">
        <v>75</v>
      </c>
      <c r="L24" t="s">
        <v>160</v>
      </c>
      <c r="M24" s="64"/>
      <c r="P24" t="s">
        <v>81</v>
      </c>
      <c r="Y24" t="s">
        <v>131</v>
      </c>
      <c r="AD24" t="s">
        <v>75</v>
      </c>
      <c r="AF24" t="s">
        <v>60</v>
      </c>
    </row>
    <row r="25" spans="1:32" ht="15" customHeight="1" x14ac:dyDescent="0.25">
      <c r="A25" s="57">
        <v>44938</v>
      </c>
      <c r="B25" t="s">
        <v>121</v>
      </c>
      <c r="C25" s="58" t="s">
        <v>157</v>
      </c>
      <c r="D25" s="65" t="s">
        <v>88</v>
      </c>
      <c r="E25" s="66" t="s">
        <v>188</v>
      </c>
      <c r="F25" s="67"/>
      <c r="G25" s="67">
        <v>1500</v>
      </c>
      <c r="H25" s="68" t="s">
        <v>201</v>
      </c>
      <c r="I25" s="63">
        <f t="shared" si="0"/>
        <v>0</v>
      </c>
      <c r="K25" t="s">
        <v>73</v>
      </c>
      <c r="L25" t="s">
        <v>160</v>
      </c>
      <c r="M25" s="64"/>
      <c r="O25" t="s">
        <v>82</v>
      </c>
      <c r="Z25" t="s">
        <v>132</v>
      </c>
      <c r="AD25" t="s">
        <v>64</v>
      </c>
      <c r="AF25" t="s">
        <v>60</v>
      </c>
    </row>
    <row r="26" spans="1:32" ht="15" customHeight="1" x14ac:dyDescent="0.25">
      <c r="A26" s="57">
        <v>44939</v>
      </c>
      <c r="B26" t="s">
        <v>127</v>
      </c>
      <c r="C26" s="58" t="s">
        <v>160</v>
      </c>
      <c r="D26" s="59" t="s">
        <v>78</v>
      </c>
      <c r="E26" s="60"/>
      <c r="F26" s="61">
        <v>1000</v>
      </c>
      <c r="G26" s="61"/>
      <c r="H26" s="62" t="s">
        <v>202</v>
      </c>
      <c r="I26" s="63">
        <f t="shared" si="0"/>
        <v>0</v>
      </c>
      <c r="M26" s="64"/>
      <c r="O26" t="s">
        <v>83</v>
      </c>
      <c r="AA26" t="s">
        <v>133</v>
      </c>
      <c r="AD26" t="s">
        <v>62</v>
      </c>
      <c r="AF26" t="s">
        <v>60</v>
      </c>
    </row>
    <row r="27" spans="1:32" ht="15" customHeight="1" x14ac:dyDescent="0.25">
      <c r="A27" s="57">
        <v>44939</v>
      </c>
      <c r="B27" t="s">
        <v>127</v>
      </c>
      <c r="C27" s="58" t="s">
        <v>157</v>
      </c>
      <c r="D27" s="65" t="s">
        <v>88</v>
      </c>
      <c r="E27" s="66" t="s">
        <v>188</v>
      </c>
      <c r="F27" s="67"/>
      <c r="G27" s="67">
        <v>1000</v>
      </c>
      <c r="H27" s="68" t="s">
        <v>202</v>
      </c>
      <c r="I27" s="63">
        <f t="shared" si="0"/>
        <v>0</v>
      </c>
      <c r="M27" s="64"/>
      <c r="Z27" t="s">
        <v>134</v>
      </c>
      <c r="AD27" t="s">
        <v>97</v>
      </c>
      <c r="AF27" t="s">
        <v>158</v>
      </c>
    </row>
    <row r="28" spans="1:32" ht="15" customHeight="1" x14ac:dyDescent="0.25">
      <c r="A28" s="57">
        <v>44940</v>
      </c>
      <c r="B28" t="s">
        <v>128</v>
      </c>
      <c r="C28" s="58" t="s">
        <v>160</v>
      </c>
      <c r="D28" s="59" t="s">
        <v>75</v>
      </c>
      <c r="E28" s="60"/>
      <c r="F28" s="61">
        <v>1500</v>
      </c>
      <c r="G28" s="61"/>
      <c r="H28" s="62" t="s">
        <v>203</v>
      </c>
      <c r="I28" s="63">
        <f t="shared" si="0"/>
        <v>0</v>
      </c>
      <c r="M28" s="64"/>
      <c r="Z28" t="s">
        <v>135</v>
      </c>
      <c r="AD28" t="s">
        <v>89</v>
      </c>
      <c r="AF28" t="s">
        <v>158</v>
      </c>
    </row>
    <row r="29" spans="1:32" ht="15" customHeight="1" x14ac:dyDescent="0.25">
      <c r="A29" s="57">
        <v>44940</v>
      </c>
      <c r="B29" t="s">
        <v>128</v>
      </c>
      <c r="C29" s="58" t="s">
        <v>157</v>
      </c>
      <c r="D29" s="65" t="s">
        <v>88</v>
      </c>
      <c r="E29" s="66" t="s">
        <v>188</v>
      </c>
      <c r="F29" s="67"/>
      <c r="G29" s="67">
        <v>1500</v>
      </c>
      <c r="H29" s="68" t="s">
        <v>203</v>
      </c>
      <c r="I29" s="63">
        <f t="shared" si="0"/>
        <v>0</v>
      </c>
      <c r="L29" s="64"/>
      <c r="M29" s="64"/>
      <c r="AA29" t="s">
        <v>136</v>
      </c>
      <c r="AD29" t="s">
        <v>91</v>
      </c>
      <c r="AF29" t="s">
        <v>158</v>
      </c>
    </row>
    <row r="30" spans="1:32" ht="15" customHeight="1" x14ac:dyDescent="0.25">
      <c r="A30" s="57">
        <v>44952</v>
      </c>
      <c r="B30" t="s">
        <v>204</v>
      </c>
      <c r="C30" s="58" t="s">
        <v>160</v>
      </c>
      <c r="D30" s="59" t="s">
        <v>67</v>
      </c>
      <c r="E30" s="60"/>
      <c r="F30" s="61">
        <v>14500</v>
      </c>
      <c r="G30" s="61"/>
      <c r="H30" s="62" t="s">
        <v>205</v>
      </c>
      <c r="I30" s="63">
        <f t="shared" si="0"/>
        <v>0</v>
      </c>
      <c r="L30" s="64"/>
      <c r="M30" s="64"/>
      <c r="Z30" t="s">
        <v>137</v>
      </c>
    </row>
    <row r="31" spans="1:32" ht="15" customHeight="1" x14ac:dyDescent="0.25">
      <c r="A31" s="57">
        <v>44952</v>
      </c>
      <c r="B31" t="s">
        <v>204</v>
      </c>
      <c r="C31" s="58" t="s">
        <v>157</v>
      </c>
      <c r="D31" s="65" t="s">
        <v>92</v>
      </c>
      <c r="E31" s="66"/>
      <c r="F31" s="67"/>
      <c r="G31" s="67">
        <v>14500</v>
      </c>
      <c r="H31" s="68" t="s">
        <v>205</v>
      </c>
      <c r="I31" s="63">
        <f t="shared" si="0"/>
        <v>0</v>
      </c>
      <c r="L31" s="64"/>
      <c r="M31" s="64"/>
      <c r="Y31" t="s">
        <v>206</v>
      </c>
    </row>
    <row r="32" spans="1:32" ht="15" customHeight="1" x14ac:dyDescent="0.25">
      <c r="A32" s="57">
        <v>44953</v>
      </c>
      <c r="B32" t="s">
        <v>207</v>
      </c>
      <c r="C32" s="58" t="s">
        <v>160</v>
      </c>
      <c r="D32" s="59" t="s">
        <v>73</v>
      </c>
      <c r="E32" s="60"/>
      <c r="F32" s="61">
        <v>700</v>
      </c>
      <c r="G32" s="61"/>
      <c r="H32" s="62" t="s">
        <v>208</v>
      </c>
      <c r="I32" s="63">
        <f t="shared" si="0"/>
        <v>0</v>
      </c>
      <c r="L32" s="64"/>
      <c r="M32" s="64"/>
      <c r="Z32" t="s">
        <v>135</v>
      </c>
    </row>
    <row r="33" spans="1:27" ht="15" customHeight="1" x14ac:dyDescent="0.25">
      <c r="A33" s="57">
        <v>44953</v>
      </c>
      <c r="B33" t="s">
        <v>207</v>
      </c>
      <c r="C33" s="58" t="s">
        <v>157</v>
      </c>
      <c r="D33" s="65" t="s">
        <v>100</v>
      </c>
      <c r="E33" s="66"/>
      <c r="F33" s="67"/>
      <c r="G33" s="67">
        <v>700</v>
      </c>
      <c r="H33" s="68" t="s">
        <v>208</v>
      </c>
      <c r="I33" s="63">
        <f t="shared" si="0"/>
        <v>0</v>
      </c>
      <c r="L33" s="64"/>
      <c r="M33" s="64"/>
      <c r="Y33" t="s">
        <v>139</v>
      </c>
    </row>
    <row r="34" spans="1:27" ht="15" customHeight="1" x14ac:dyDescent="0.25">
      <c r="A34" s="57">
        <v>44959</v>
      </c>
      <c r="B34" t="s">
        <v>181</v>
      </c>
      <c r="C34" s="58" t="s">
        <v>157</v>
      </c>
      <c r="D34" s="59" t="s">
        <v>90</v>
      </c>
      <c r="E34" s="60"/>
      <c r="F34" s="61">
        <v>20000</v>
      </c>
      <c r="G34" s="61"/>
      <c r="H34" s="62" t="s">
        <v>209</v>
      </c>
      <c r="I34" s="63">
        <f t="shared" si="0"/>
        <v>0</v>
      </c>
      <c r="L34" s="64"/>
      <c r="M34" s="64"/>
      <c r="Z34" t="s">
        <v>112</v>
      </c>
    </row>
    <row r="35" spans="1:27" ht="15" customHeight="1" x14ac:dyDescent="0.25">
      <c r="A35" s="57">
        <v>44959</v>
      </c>
      <c r="B35" t="s">
        <v>181</v>
      </c>
      <c r="C35" s="58" t="s">
        <v>60</v>
      </c>
      <c r="D35" s="65" t="s">
        <v>63</v>
      </c>
      <c r="E35" s="66"/>
      <c r="F35" s="67"/>
      <c r="G35" s="67">
        <v>20000</v>
      </c>
      <c r="H35" s="68" t="s">
        <v>209</v>
      </c>
      <c r="I35" s="63">
        <f t="shared" si="0"/>
        <v>0</v>
      </c>
      <c r="L35" s="64"/>
      <c r="M35" s="64"/>
      <c r="AA35" t="s">
        <v>141</v>
      </c>
    </row>
    <row r="36" spans="1:27" ht="15" customHeight="1" x14ac:dyDescent="0.25">
      <c r="A36" s="57">
        <v>44960</v>
      </c>
      <c r="B36" t="s">
        <v>184</v>
      </c>
      <c r="C36" s="58" t="s">
        <v>157</v>
      </c>
      <c r="D36" s="59" t="s">
        <v>92</v>
      </c>
      <c r="E36" s="60"/>
      <c r="F36" s="61">
        <v>18000</v>
      </c>
      <c r="G36" s="61"/>
      <c r="H36" s="62" t="s">
        <v>210</v>
      </c>
      <c r="I36" s="63">
        <f t="shared" si="0"/>
        <v>0</v>
      </c>
      <c r="L36" s="64"/>
      <c r="M36" s="64"/>
      <c r="Z36" t="s">
        <v>211</v>
      </c>
    </row>
    <row r="37" spans="1:27" ht="15" customHeight="1" x14ac:dyDescent="0.25">
      <c r="A37" s="57">
        <v>44960</v>
      </c>
      <c r="B37" t="s">
        <v>184</v>
      </c>
      <c r="C37" s="58" t="s">
        <v>158</v>
      </c>
      <c r="D37" s="65" t="s">
        <v>89</v>
      </c>
      <c r="E37" s="66"/>
      <c r="F37" s="67"/>
      <c r="G37" s="67">
        <v>18000</v>
      </c>
      <c r="H37" s="68" t="s">
        <v>210</v>
      </c>
      <c r="I37" s="63">
        <f t="shared" si="0"/>
        <v>0</v>
      </c>
      <c r="L37" s="64"/>
      <c r="M37" s="64"/>
      <c r="Z37" t="s">
        <v>145</v>
      </c>
    </row>
    <row r="38" spans="1:27" ht="15" customHeight="1" x14ac:dyDescent="0.25">
      <c r="A38" s="57">
        <v>44961</v>
      </c>
      <c r="B38" t="s">
        <v>122</v>
      </c>
      <c r="C38" s="58" t="s">
        <v>158</v>
      </c>
      <c r="D38" s="59" t="s">
        <v>89</v>
      </c>
      <c r="E38" s="60"/>
      <c r="F38" s="61">
        <v>0</v>
      </c>
      <c r="G38" s="61"/>
      <c r="H38" s="62" t="s">
        <v>212</v>
      </c>
      <c r="I38" s="63">
        <f t="shared" si="0"/>
        <v>0</v>
      </c>
      <c r="L38" s="64"/>
      <c r="M38" s="64"/>
      <c r="AA38" t="s">
        <v>146</v>
      </c>
    </row>
    <row r="39" spans="1:27" ht="15" customHeight="1" x14ac:dyDescent="0.25">
      <c r="A39" s="57">
        <v>44961</v>
      </c>
      <c r="B39" t="s">
        <v>122</v>
      </c>
      <c r="C39" s="58" t="s">
        <v>157</v>
      </c>
      <c r="D39" s="65" t="s">
        <v>88</v>
      </c>
      <c r="E39" s="66" t="s">
        <v>188</v>
      </c>
      <c r="F39" s="67"/>
      <c r="G39" s="67">
        <v>0</v>
      </c>
      <c r="H39" s="68" t="s">
        <v>212</v>
      </c>
      <c r="I39" s="63">
        <f t="shared" si="0"/>
        <v>0</v>
      </c>
      <c r="L39" s="64"/>
      <c r="M39" s="64"/>
      <c r="Z39" t="s">
        <v>147</v>
      </c>
      <c r="AA39" t="s">
        <v>128</v>
      </c>
    </row>
    <row r="40" spans="1:27" ht="15" customHeight="1" x14ac:dyDescent="0.25">
      <c r="A40" s="57">
        <v>44962</v>
      </c>
      <c r="B40" t="s">
        <v>115</v>
      </c>
      <c r="C40" s="58" t="s">
        <v>157</v>
      </c>
      <c r="D40" s="59" t="s">
        <v>88</v>
      </c>
      <c r="E40" s="60" t="s">
        <v>190</v>
      </c>
      <c r="F40" s="61">
        <v>18000</v>
      </c>
      <c r="G40" s="61"/>
      <c r="H40" s="62" t="s">
        <v>213</v>
      </c>
      <c r="I40" s="63">
        <f t="shared" si="0"/>
        <v>0</v>
      </c>
      <c r="L40" s="64"/>
      <c r="M40" s="64"/>
      <c r="Y40" t="s">
        <v>214</v>
      </c>
    </row>
    <row r="41" spans="1:27" ht="15" customHeight="1" x14ac:dyDescent="0.25">
      <c r="A41" s="57">
        <v>44962</v>
      </c>
      <c r="B41" t="s">
        <v>115</v>
      </c>
      <c r="C41" s="58" t="s">
        <v>60</v>
      </c>
      <c r="D41" s="65" t="s">
        <v>63</v>
      </c>
      <c r="E41" s="66"/>
      <c r="F41" s="67"/>
      <c r="G41" s="67">
        <v>18000</v>
      </c>
      <c r="H41" s="68" t="s">
        <v>213</v>
      </c>
      <c r="I41" s="63">
        <f t="shared" si="0"/>
        <v>0</v>
      </c>
      <c r="L41" s="64"/>
      <c r="M41" s="64"/>
      <c r="Y41" t="s">
        <v>215</v>
      </c>
    </row>
    <row r="42" spans="1:27" ht="15" customHeight="1" x14ac:dyDescent="0.25">
      <c r="A42" s="57">
        <v>44963</v>
      </c>
      <c r="B42" t="s">
        <v>113</v>
      </c>
      <c r="C42" s="58" t="s">
        <v>157</v>
      </c>
      <c r="D42" s="59" t="s">
        <v>88</v>
      </c>
      <c r="E42" s="60" t="s">
        <v>190</v>
      </c>
      <c r="F42" s="61">
        <v>7000</v>
      </c>
      <c r="G42" s="61"/>
      <c r="H42" s="62" t="s">
        <v>216</v>
      </c>
      <c r="I42" s="63">
        <f t="shared" si="0"/>
        <v>0</v>
      </c>
      <c r="L42" s="64"/>
      <c r="M42" s="64"/>
    </row>
    <row r="43" spans="1:27" ht="15" customHeight="1" x14ac:dyDescent="0.25">
      <c r="A43" s="57">
        <v>44963</v>
      </c>
      <c r="B43" t="s">
        <v>113</v>
      </c>
      <c r="C43" s="58" t="s">
        <v>60</v>
      </c>
      <c r="D43" s="65" t="s">
        <v>61</v>
      </c>
      <c r="E43" s="66"/>
      <c r="F43" s="67"/>
      <c r="G43" s="67">
        <v>7000</v>
      </c>
      <c r="H43" s="68" t="s">
        <v>216</v>
      </c>
      <c r="I43" s="63">
        <f t="shared" si="0"/>
        <v>0</v>
      </c>
      <c r="L43" s="64"/>
      <c r="M43" s="64"/>
    </row>
    <row r="44" spans="1:27" ht="15" customHeight="1" x14ac:dyDescent="0.25">
      <c r="A44" s="57">
        <v>44964</v>
      </c>
      <c r="B44" t="s">
        <v>194</v>
      </c>
      <c r="C44" s="58" t="s">
        <v>157</v>
      </c>
      <c r="D44" s="59" t="s">
        <v>90</v>
      </c>
      <c r="E44" s="60"/>
      <c r="F44" s="61">
        <v>11000</v>
      </c>
      <c r="G44" s="61"/>
      <c r="H44" s="62" t="s">
        <v>217</v>
      </c>
      <c r="I44" s="63">
        <f t="shared" si="0"/>
        <v>0</v>
      </c>
      <c r="L44" s="64"/>
      <c r="M44" s="64"/>
    </row>
    <row r="45" spans="1:27" ht="15" customHeight="1" x14ac:dyDescent="0.25">
      <c r="A45" s="57">
        <v>44964</v>
      </c>
      <c r="B45" t="s">
        <v>194</v>
      </c>
      <c r="C45" s="58" t="s">
        <v>60</v>
      </c>
      <c r="D45" s="65" t="s">
        <v>64</v>
      </c>
      <c r="E45" s="66"/>
      <c r="F45" s="67"/>
      <c r="G45" s="67">
        <v>11000</v>
      </c>
      <c r="H45" s="68" t="s">
        <v>217</v>
      </c>
      <c r="I45" s="63">
        <f t="shared" si="0"/>
        <v>0</v>
      </c>
      <c r="L45" s="64"/>
      <c r="M45" s="64"/>
    </row>
    <row r="46" spans="1:27" ht="15" customHeight="1" x14ac:dyDescent="0.25">
      <c r="A46" s="57">
        <v>44965</v>
      </c>
      <c r="B46" t="s">
        <v>114</v>
      </c>
      <c r="C46" s="58" t="s">
        <v>157</v>
      </c>
      <c r="D46" s="59" t="s">
        <v>88</v>
      </c>
      <c r="E46" s="60" t="s">
        <v>190</v>
      </c>
      <c r="F46" s="61">
        <v>25000</v>
      </c>
      <c r="G46" s="61"/>
      <c r="H46" s="62" t="s">
        <v>218</v>
      </c>
      <c r="I46" s="63">
        <f t="shared" si="0"/>
        <v>0</v>
      </c>
      <c r="L46" s="64"/>
      <c r="M46" s="64"/>
    </row>
    <row r="47" spans="1:27" ht="15" customHeight="1" x14ac:dyDescent="0.25">
      <c r="A47" s="57">
        <v>44965</v>
      </c>
      <c r="B47" t="s">
        <v>114</v>
      </c>
      <c r="C47" s="58" t="s">
        <v>157</v>
      </c>
      <c r="D47" s="65" t="s">
        <v>90</v>
      </c>
      <c r="E47" s="66"/>
      <c r="F47" s="67"/>
      <c r="G47" s="67">
        <v>25000</v>
      </c>
      <c r="H47" s="68" t="s">
        <v>218</v>
      </c>
      <c r="I47" s="63">
        <f t="shared" si="0"/>
        <v>0</v>
      </c>
      <c r="L47" s="64"/>
      <c r="M47" s="64"/>
    </row>
    <row r="48" spans="1:27" ht="15" customHeight="1" x14ac:dyDescent="0.25">
      <c r="A48" s="57">
        <v>44966</v>
      </c>
      <c r="B48" t="s">
        <v>118</v>
      </c>
      <c r="C48" s="58" t="s">
        <v>160</v>
      </c>
      <c r="D48" s="59" t="s">
        <v>77</v>
      </c>
      <c r="E48" s="60"/>
      <c r="F48" s="61">
        <v>5000</v>
      </c>
      <c r="G48" s="61"/>
      <c r="H48" s="62" t="s">
        <v>219</v>
      </c>
      <c r="I48" s="63">
        <f t="shared" si="0"/>
        <v>0</v>
      </c>
      <c r="L48" s="64"/>
      <c r="M48" s="64"/>
    </row>
    <row r="49" spans="1:13" ht="15" customHeight="1" x14ac:dyDescent="0.25">
      <c r="A49" s="57">
        <v>44966</v>
      </c>
      <c r="B49" t="s">
        <v>118</v>
      </c>
      <c r="C49" s="58" t="s">
        <v>157</v>
      </c>
      <c r="D49" s="65" t="s">
        <v>88</v>
      </c>
      <c r="E49" s="66" t="s">
        <v>188</v>
      </c>
      <c r="F49" s="67"/>
      <c r="G49" s="67">
        <v>5000</v>
      </c>
      <c r="H49" s="68" t="s">
        <v>219</v>
      </c>
      <c r="I49" s="63">
        <f t="shared" si="0"/>
        <v>0</v>
      </c>
      <c r="L49" s="64"/>
      <c r="M49" s="64"/>
    </row>
    <row r="50" spans="1:13" ht="15" customHeight="1" x14ac:dyDescent="0.25">
      <c r="A50" s="57">
        <v>44967</v>
      </c>
      <c r="B50" t="s">
        <v>119</v>
      </c>
      <c r="C50" s="58" t="s">
        <v>160</v>
      </c>
      <c r="D50" s="59" t="s">
        <v>72</v>
      </c>
      <c r="E50" s="60"/>
      <c r="F50" s="61">
        <v>4500</v>
      </c>
      <c r="G50" s="61"/>
      <c r="H50" s="62" t="s">
        <v>220</v>
      </c>
      <c r="I50" s="63">
        <f t="shared" si="0"/>
        <v>0</v>
      </c>
      <c r="L50" s="64"/>
      <c r="M50" s="64"/>
    </row>
    <row r="51" spans="1:13" ht="15" customHeight="1" x14ac:dyDescent="0.25">
      <c r="A51" s="57">
        <v>44967</v>
      </c>
      <c r="B51" t="s">
        <v>119</v>
      </c>
      <c r="C51" s="58" t="s">
        <v>157</v>
      </c>
      <c r="D51" s="65" t="s">
        <v>88</v>
      </c>
      <c r="E51" s="66" t="s">
        <v>188</v>
      </c>
      <c r="F51" s="67"/>
      <c r="G51" s="67">
        <v>4500</v>
      </c>
      <c r="H51" s="68" t="s">
        <v>220</v>
      </c>
      <c r="I51" s="63">
        <f t="shared" si="0"/>
        <v>0</v>
      </c>
      <c r="L51" s="64"/>
      <c r="M51" s="64"/>
    </row>
    <row r="52" spans="1:13" ht="15" customHeight="1" x14ac:dyDescent="0.25">
      <c r="A52" s="57">
        <v>44968</v>
      </c>
      <c r="B52" t="s">
        <v>120</v>
      </c>
      <c r="C52" s="58" t="s">
        <v>160</v>
      </c>
      <c r="D52" s="59" t="s">
        <v>81</v>
      </c>
      <c r="E52" s="60"/>
      <c r="F52" s="61">
        <v>2500</v>
      </c>
      <c r="G52" s="61"/>
      <c r="H52" s="62" t="s">
        <v>221</v>
      </c>
      <c r="I52" s="63">
        <f t="shared" si="0"/>
        <v>0</v>
      </c>
      <c r="K52" s="64"/>
      <c r="L52" s="64"/>
      <c r="M52" s="64"/>
    </row>
    <row r="53" spans="1:13" ht="15" customHeight="1" x14ac:dyDescent="0.25">
      <c r="A53" s="57">
        <v>44968</v>
      </c>
      <c r="B53" t="s">
        <v>120</v>
      </c>
      <c r="C53" s="58" t="s">
        <v>157</v>
      </c>
      <c r="D53" s="65" t="s">
        <v>88</v>
      </c>
      <c r="E53" s="66" t="s">
        <v>188</v>
      </c>
      <c r="F53" s="67"/>
      <c r="G53" s="67">
        <v>2500</v>
      </c>
      <c r="H53" s="68" t="s">
        <v>221</v>
      </c>
      <c r="I53" s="63">
        <f t="shared" si="0"/>
        <v>0</v>
      </c>
      <c r="K53" s="64"/>
      <c r="L53" s="64"/>
      <c r="M53" s="64"/>
    </row>
    <row r="54" spans="1:13" ht="15" customHeight="1" x14ac:dyDescent="0.25">
      <c r="A54" s="57">
        <v>44969</v>
      </c>
      <c r="B54" t="s">
        <v>121</v>
      </c>
      <c r="C54" s="58" t="s">
        <v>160</v>
      </c>
      <c r="D54" s="59" t="s">
        <v>71</v>
      </c>
      <c r="E54" s="60"/>
      <c r="F54" s="61">
        <v>1000</v>
      </c>
      <c r="G54" s="61"/>
      <c r="H54" s="62" t="s">
        <v>222</v>
      </c>
      <c r="I54" s="63">
        <f t="shared" si="0"/>
        <v>0</v>
      </c>
      <c r="K54" s="64"/>
      <c r="L54" s="64"/>
      <c r="M54" s="64"/>
    </row>
    <row r="55" spans="1:13" ht="15" customHeight="1" x14ac:dyDescent="0.25">
      <c r="A55" s="57">
        <v>44969</v>
      </c>
      <c r="B55" t="s">
        <v>121</v>
      </c>
      <c r="C55" s="58" t="s">
        <v>157</v>
      </c>
      <c r="D55" s="65" t="s">
        <v>88</v>
      </c>
      <c r="E55" s="66" t="s">
        <v>188</v>
      </c>
      <c r="F55" s="67"/>
      <c r="G55" s="67">
        <v>1000</v>
      </c>
      <c r="H55" s="68" t="s">
        <v>222</v>
      </c>
      <c r="I55" s="63">
        <f t="shared" si="0"/>
        <v>0</v>
      </c>
      <c r="K55" s="64"/>
      <c r="L55" s="64"/>
      <c r="M55" s="64"/>
    </row>
    <row r="56" spans="1:13" ht="15" customHeight="1" x14ac:dyDescent="0.25">
      <c r="A56" s="57">
        <v>44970</v>
      </c>
      <c r="B56" t="s">
        <v>123</v>
      </c>
      <c r="C56" s="58" t="s">
        <v>160</v>
      </c>
      <c r="D56" s="59" t="s">
        <v>80</v>
      </c>
      <c r="E56" s="60"/>
      <c r="F56" s="61">
        <v>1500</v>
      </c>
      <c r="G56" s="61"/>
      <c r="H56" s="62" t="s">
        <v>223</v>
      </c>
      <c r="I56" s="63">
        <f t="shared" si="0"/>
        <v>0</v>
      </c>
      <c r="K56" s="64"/>
      <c r="L56" s="64"/>
      <c r="M56" s="64"/>
    </row>
    <row r="57" spans="1:13" ht="15" customHeight="1" x14ac:dyDescent="0.25">
      <c r="A57" s="57">
        <v>44970</v>
      </c>
      <c r="B57" t="s">
        <v>123</v>
      </c>
      <c r="C57" s="58" t="s">
        <v>157</v>
      </c>
      <c r="D57" s="65" t="s">
        <v>88</v>
      </c>
      <c r="E57" s="66" t="s">
        <v>188</v>
      </c>
      <c r="F57" s="67"/>
      <c r="G57" s="67">
        <v>1500</v>
      </c>
      <c r="H57" s="68" t="s">
        <v>223</v>
      </c>
      <c r="I57" s="63">
        <f t="shared" si="0"/>
        <v>0</v>
      </c>
      <c r="K57" s="64"/>
      <c r="L57" s="64"/>
      <c r="M57" s="64"/>
    </row>
    <row r="58" spans="1:13" ht="15" customHeight="1" x14ac:dyDescent="0.25">
      <c r="A58" s="57">
        <v>44971</v>
      </c>
      <c r="B58" t="s">
        <v>128</v>
      </c>
      <c r="C58" s="58" t="s">
        <v>160</v>
      </c>
      <c r="D58" s="59" t="s">
        <v>75</v>
      </c>
      <c r="E58" s="60"/>
      <c r="F58" s="61">
        <v>500</v>
      </c>
      <c r="G58" s="61"/>
      <c r="H58" s="62" t="s">
        <v>224</v>
      </c>
      <c r="I58" s="63">
        <f t="shared" si="0"/>
        <v>0</v>
      </c>
      <c r="K58" s="64"/>
      <c r="L58" s="64"/>
      <c r="M58" s="64"/>
    </row>
    <row r="59" spans="1:13" ht="15" customHeight="1" x14ac:dyDescent="0.25">
      <c r="A59" s="57">
        <v>44971</v>
      </c>
      <c r="B59" t="s">
        <v>128</v>
      </c>
      <c r="C59" s="58" t="s">
        <v>157</v>
      </c>
      <c r="D59" s="65" t="s">
        <v>88</v>
      </c>
      <c r="E59" s="66" t="s">
        <v>188</v>
      </c>
      <c r="F59" s="67"/>
      <c r="G59" s="67">
        <v>500</v>
      </c>
      <c r="H59" s="68" t="s">
        <v>224</v>
      </c>
      <c r="I59" s="63">
        <f t="shared" si="0"/>
        <v>0</v>
      </c>
      <c r="K59" s="64"/>
      <c r="L59" s="64"/>
      <c r="M59" s="64"/>
    </row>
    <row r="60" spans="1:13" ht="15" customHeight="1" x14ac:dyDescent="0.25">
      <c r="A60" s="57">
        <v>44983</v>
      </c>
      <c r="B60" t="s">
        <v>204</v>
      </c>
      <c r="C60" s="58" t="s">
        <v>160</v>
      </c>
      <c r="D60" s="59" t="s">
        <v>67</v>
      </c>
      <c r="E60" s="60"/>
      <c r="F60" s="61">
        <v>16000</v>
      </c>
      <c r="G60" s="61"/>
      <c r="H60" s="62" t="s">
        <v>225</v>
      </c>
      <c r="I60" s="63">
        <f t="shared" si="0"/>
        <v>0</v>
      </c>
      <c r="K60" s="64"/>
      <c r="L60" s="64"/>
      <c r="M60" s="64"/>
    </row>
    <row r="61" spans="1:13" ht="15" customHeight="1" x14ac:dyDescent="0.25">
      <c r="A61" s="57">
        <v>44983</v>
      </c>
      <c r="B61" t="s">
        <v>204</v>
      </c>
      <c r="C61" s="58" t="s">
        <v>157</v>
      </c>
      <c r="D61" s="65" t="s">
        <v>92</v>
      </c>
      <c r="E61" s="66"/>
      <c r="F61" s="67"/>
      <c r="G61" s="67">
        <v>16000</v>
      </c>
      <c r="H61" s="68" t="s">
        <v>225</v>
      </c>
      <c r="I61" s="63">
        <f t="shared" si="0"/>
        <v>0</v>
      </c>
      <c r="K61" s="64"/>
      <c r="L61" s="64"/>
      <c r="M61" s="64"/>
    </row>
    <row r="62" spans="1:13" ht="15" customHeight="1" x14ac:dyDescent="0.25">
      <c r="A62" s="57">
        <v>44984</v>
      </c>
      <c r="B62" t="s">
        <v>207</v>
      </c>
      <c r="C62" s="58" t="s">
        <v>160</v>
      </c>
      <c r="D62" s="59" t="s">
        <v>73</v>
      </c>
      <c r="E62" s="60"/>
      <c r="F62" s="61">
        <v>900</v>
      </c>
      <c r="G62" s="61"/>
      <c r="H62" s="62" t="s">
        <v>226</v>
      </c>
      <c r="I62" s="63">
        <f t="shared" si="0"/>
        <v>0</v>
      </c>
      <c r="K62" s="64"/>
      <c r="L62" s="64"/>
      <c r="M62" s="64"/>
    </row>
    <row r="63" spans="1:13" ht="15" customHeight="1" x14ac:dyDescent="0.25">
      <c r="A63" s="57">
        <v>44984</v>
      </c>
      <c r="B63" t="s">
        <v>207</v>
      </c>
      <c r="C63" s="58" t="s">
        <v>157</v>
      </c>
      <c r="D63" s="65" t="s">
        <v>100</v>
      </c>
      <c r="E63" s="66"/>
      <c r="F63" s="67"/>
      <c r="G63" s="67">
        <v>900</v>
      </c>
      <c r="H63" s="68" t="s">
        <v>226</v>
      </c>
      <c r="I63" s="63">
        <f t="shared" si="0"/>
        <v>0</v>
      </c>
      <c r="K63" s="64"/>
      <c r="L63" s="64"/>
      <c r="M63" s="64"/>
    </row>
    <row r="64" spans="1:13" ht="15" customHeight="1" x14ac:dyDescent="0.25">
      <c r="A64" s="57">
        <v>44987</v>
      </c>
      <c r="B64" t="s">
        <v>141</v>
      </c>
      <c r="C64" s="58" t="s">
        <v>157</v>
      </c>
      <c r="D64" s="59" t="s">
        <v>88</v>
      </c>
      <c r="E64" s="60" t="s">
        <v>178</v>
      </c>
      <c r="F64" s="61">
        <v>30000</v>
      </c>
      <c r="G64" s="61"/>
      <c r="H64" s="62" t="s">
        <v>227</v>
      </c>
      <c r="I64" s="63">
        <f t="shared" si="0"/>
        <v>0</v>
      </c>
      <c r="K64" s="64"/>
      <c r="L64" s="64"/>
      <c r="M64" s="64"/>
    </row>
    <row r="65" spans="1:13" ht="15" customHeight="1" x14ac:dyDescent="0.25">
      <c r="A65" s="57">
        <v>44987</v>
      </c>
      <c r="B65" t="s">
        <v>141</v>
      </c>
      <c r="C65" s="58" t="s">
        <v>158</v>
      </c>
      <c r="D65" s="65" t="s">
        <v>97</v>
      </c>
      <c r="E65" s="66"/>
      <c r="F65" s="67"/>
      <c r="G65" s="67">
        <v>30000</v>
      </c>
      <c r="H65" s="68" t="s">
        <v>227</v>
      </c>
      <c r="I65" s="63">
        <f t="shared" si="0"/>
        <v>0</v>
      </c>
      <c r="K65" s="64"/>
      <c r="L65" s="64"/>
      <c r="M65" s="64"/>
    </row>
    <row r="66" spans="1:13" ht="15" customHeight="1" x14ac:dyDescent="0.25">
      <c r="A66" s="57">
        <v>44987</v>
      </c>
      <c r="B66" t="s">
        <v>181</v>
      </c>
      <c r="C66" s="58" t="s">
        <v>157</v>
      </c>
      <c r="D66" s="59" t="s">
        <v>90</v>
      </c>
      <c r="E66" s="60"/>
      <c r="F66" s="61">
        <v>27000</v>
      </c>
      <c r="G66" s="61"/>
      <c r="H66" s="62" t="s">
        <v>228</v>
      </c>
      <c r="I66" s="63">
        <f t="shared" ref="I66:I129" si="1">SUMIF($H:$H,H66,$F:$F)-SUMIF($H:$H,H66,$G:$G)</f>
        <v>0</v>
      </c>
      <c r="K66" s="64"/>
      <c r="L66" s="64"/>
      <c r="M66" s="64"/>
    </row>
    <row r="67" spans="1:13" ht="15" customHeight="1" x14ac:dyDescent="0.25">
      <c r="A67" s="57">
        <v>44987</v>
      </c>
      <c r="B67" t="s">
        <v>181</v>
      </c>
      <c r="C67" s="58" t="s">
        <v>60</v>
      </c>
      <c r="D67" s="65" t="s">
        <v>63</v>
      </c>
      <c r="E67" s="66"/>
      <c r="F67" s="67"/>
      <c r="G67" s="67">
        <v>27000</v>
      </c>
      <c r="H67" s="68" t="s">
        <v>228</v>
      </c>
      <c r="I67" s="63">
        <f t="shared" si="1"/>
        <v>0</v>
      </c>
      <c r="K67" s="64"/>
      <c r="L67" s="64"/>
      <c r="M67" s="64"/>
    </row>
    <row r="68" spans="1:13" ht="15" customHeight="1" x14ac:dyDescent="0.25">
      <c r="A68" s="57">
        <v>44988</v>
      </c>
      <c r="B68" t="s">
        <v>184</v>
      </c>
      <c r="C68" s="58" t="s">
        <v>157</v>
      </c>
      <c r="D68" s="59" t="s">
        <v>92</v>
      </c>
      <c r="E68" s="60"/>
      <c r="F68" s="61">
        <v>24000</v>
      </c>
      <c r="G68" s="61"/>
      <c r="H68" s="62" t="s">
        <v>229</v>
      </c>
      <c r="I68" s="63">
        <f t="shared" si="1"/>
        <v>0</v>
      </c>
      <c r="K68" s="64"/>
      <c r="L68" s="64"/>
      <c r="M68" s="64"/>
    </row>
    <row r="69" spans="1:13" ht="15" customHeight="1" x14ac:dyDescent="0.25">
      <c r="A69" s="57">
        <v>44988</v>
      </c>
      <c r="B69" t="s">
        <v>184</v>
      </c>
      <c r="C69" s="58" t="s">
        <v>158</v>
      </c>
      <c r="D69" s="65" t="s">
        <v>89</v>
      </c>
      <c r="E69" s="66"/>
      <c r="F69" s="67"/>
      <c r="G69" s="67">
        <v>24000</v>
      </c>
      <c r="H69" s="68" t="s">
        <v>229</v>
      </c>
      <c r="I69" s="63">
        <f t="shared" si="1"/>
        <v>0</v>
      </c>
      <c r="K69" s="64"/>
      <c r="L69" s="64"/>
      <c r="M69" s="64"/>
    </row>
    <row r="70" spans="1:13" ht="15" customHeight="1" x14ac:dyDescent="0.25">
      <c r="A70" s="57">
        <v>44989</v>
      </c>
      <c r="B70" t="s">
        <v>122</v>
      </c>
      <c r="C70" s="58" t="s">
        <v>158</v>
      </c>
      <c r="D70" s="59" t="s">
        <v>89</v>
      </c>
      <c r="E70" s="60"/>
      <c r="F70" s="61">
        <v>0</v>
      </c>
      <c r="G70" s="61"/>
      <c r="H70" s="62" t="s">
        <v>230</v>
      </c>
      <c r="I70" s="63">
        <f t="shared" si="1"/>
        <v>0</v>
      </c>
      <c r="K70" s="64"/>
      <c r="L70" s="64"/>
      <c r="M70" s="64"/>
    </row>
    <row r="71" spans="1:13" ht="15" customHeight="1" x14ac:dyDescent="0.25">
      <c r="A71" s="57">
        <v>44989</v>
      </c>
      <c r="B71" t="s">
        <v>122</v>
      </c>
      <c r="C71" s="58" t="s">
        <v>157</v>
      </c>
      <c r="D71" s="65" t="s">
        <v>88</v>
      </c>
      <c r="E71" s="66" t="s">
        <v>188</v>
      </c>
      <c r="F71" s="67"/>
      <c r="G71" s="67">
        <v>0</v>
      </c>
      <c r="H71" s="68" t="s">
        <v>230</v>
      </c>
      <c r="I71" s="63">
        <f t="shared" si="1"/>
        <v>0</v>
      </c>
      <c r="K71" s="64"/>
      <c r="L71" s="64"/>
      <c r="M71" s="64"/>
    </row>
    <row r="72" spans="1:13" ht="15" customHeight="1" x14ac:dyDescent="0.25">
      <c r="A72" s="57">
        <v>44990</v>
      </c>
      <c r="B72" t="s">
        <v>115</v>
      </c>
      <c r="C72" s="58" t="s">
        <v>157</v>
      </c>
      <c r="D72" s="59" t="s">
        <v>88</v>
      </c>
      <c r="E72" s="60" t="s">
        <v>190</v>
      </c>
      <c r="F72" s="61">
        <v>20000</v>
      </c>
      <c r="G72" s="61"/>
      <c r="H72" s="62" t="s">
        <v>231</v>
      </c>
      <c r="I72" s="63">
        <f t="shared" si="1"/>
        <v>0</v>
      </c>
      <c r="K72" s="64"/>
      <c r="L72" s="64"/>
      <c r="M72" s="64"/>
    </row>
    <row r="73" spans="1:13" ht="15" customHeight="1" x14ac:dyDescent="0.25">
      <c r="A73" s="57">
        <v>44990</v>
      </c>
      <c r="B73" t="s">
        <v>115</v>
      </c>
      <c r="C73" s="58" t="s">
        <v>60</v>
      </c>
      <c r="D73" s="65" t="s">
        <v>63</v>
      </c>
      <c r="E73" s="66"/>
      <c r="F73" s="67"/>
      <c r="G73" s="67">
        <v>20000</v>
      </c>
      <c r="H73" s="68" t="s">
        <v>231</v>
      </c>
      <c r="I73" s="63">
        <f t="shared" si="1"/>
        <v>0</v>
      </c>
      <c r="K73" s="64"/>
      <c r="L73" s="64"/>
      <c r="M73" s="64"/>
    </row>
    <row r="74" spans="1:13" ht="15" customHeight="1" x14ac:dyDescent="0.25">
      <c r="A74" s="57">
        <v>44991</v>
      </c>
      <c r="B74" t="s">
        <v>113</v>
      </c>
      <c r="C74" s="58" t="s">
        <v>157</v>
      </c>
      <c r="D74" s="59" t="s">
        <v>88</v>
      </c>
      <c r="E74" s="60" t="s">
        <v>190</v>
      </c>
      <c r="F74" s="61">
        <v>4500</v>
      </c>
      <c r="G74" s="61"/>
      <c r="H74" s="62" t="s">
        <v>232</v>
      </c>
      <c r="I74" s="63">
        <f t="shared" si="1"/>
        <v>0</v>
      </c>
      <c r="K74" s="64"/>
      <c r="L74" s="64"/>
      <c r="M74" s="64"/>
    </row>
    <row r="75" spans="1:13" ht="15" customHeight="1" x14ac:dyDescent="0.25">
      <c r="A75" s="57">
        <v>44991</v>
      </c>
      <c r="B75" t="s">
        <v>113</v>
      </c>
      <c r="C75" s="58" t="s">
        <v>60</v>
      </c>
      <c r="D75" s="65" t="s">
        <v>61</v>
      </c>
      <c r="E75" s="66"/>
      <c r="F75" s="67"/>
      <c r="G75" s="67">
        <v>4500</v>
      </c>
      <c r="H75" s="68" t="s">
        <v>232</v>
      </c>
      <c r="I75" s="63">
        <f t="shared" si="1"/>
        <v>0</v>
      </c>
      <c r="K75" s="64"/>
      <c r="L75" s="64"/>
      <c r="M75" s="64"/>
    </row>
    <row r="76" spans="1:13" ht="15" customHeight="1" x14ac:dyDescent="0.25">
      <c r="A76" s="57">
        <v>44992</v>
      </c>
      <c r="B76" t="s">
        <v>194</v>
      </c>
      <c r="C76" s="58" t="s">
        <v>157</v>
      </c>
      <c r="D76" s="59" t="s">
        <v>90</v>
      </c>
      <c r="E76" s="60"/>
      <c r="F76" s="61">
        <v>10000</v>
      </c>
      <c r="G76" s="61"/>
      <c r="H76" s="62" t="s">
        <v>233</v>
      </c>
      <c r="I76" s="63">
        <f t="shared" si="1"/>
        <v>0</v>
      </c>
      <c r="K76" s="64"/>
      <c r="L76" s="64"/>
      <c r="M76" s="64"/>
    </row>
    <row r="77" spans="1:13" ht="15" customHeight="1" x14ac:dyDescent="0.25">
      <c r="A77" s="57">
        <v>44992</v>
      </c>
      <c r="B77" t="s">
        <v>194</v>
      </c>
      <c r="C77" s="58" t="s">
        <v>60</v>
      </c>
      <c r="D77" s="65" t="s">
        <v>64</v>
      </c>
      <c r="E77" s="66"/>
      <c r="F77" s="67"/>
      <c r="G77" s="67">
        <v>10000</v>
      </c>
      <c r="H77" s="68" t="s">
        <v>233</v>
      </c>
      <c r="I77" s="63">
        <f t="shared" si="1"/>
        <v>0</v>
      </c>
      <c r="K77" s="64"/>
      <c r="L77" s="64"/>
      <c r="M77" s="64"/>
    </row>
    <row r="78" spans="1:13" ht="15" customHeight="1" x14ac:dyDescent="0.25">
      <c r="A78" s="57">
        <v>44993</v>
      </c>
      <c r="B78" t="s">
        <v>114</v>
      </c>
      <c r="C78" s="58" t="s">
        <v>157</v>
      </c>
      <c r="D78" s="59" t="s">
        <v>88</v>
      </c>
      <c r="E78" s="60" t="s">
        <v>190</v>
      </c>
      <c r="F78" s="61">
        <v>23000</v>
      </c>
      <c r="G78" s="61"/>
      <c r="H78" s="62" t="s">
        <v>234</v>
      </c>
      <c r="I78" s="63">
        <f t="shared" si="1"/>
        <v>0</v>
      </c>
      <c r="K78" s="64"/>
      <c r="L78" s="64"/>
      <c r="M78" s="64"/>
    </row>
    <row r="79" spans="1:13" ht="15" customHeight="1" x14ac:dyDescent="0.25">
      <c r="A79" s="57">
        <v>44993</v>
      </c>
      <c r="B79" t="s">
        <v>114</v>
      </c>
      <c r="C79" s="58" t="s">
        <v>157</v>
      </c>
      <c r="D79" s="65" t="s">
        <v>90</v>
      </c>
      <c r="E79" s="66"/>
      <c r="F79" s="67"/>
      <c r="G79" s="67">
        <v>23000</v>
      </c>
      <c r="H79" s="68" t="s">
        <v>234</v>
      </c>
      <c r="I79" s="63">
        <f t="shared" si="1"/>
        <v>0</v>
      </c>
      <c r="K79" s="64"/>
      <c r="L79" s="64"/>
      <c r="M79" s="64"/>
    </row>
    <row r="80" spans="1:13" ht="15" customHeight="1" x14ac:dyDescent="0.25">
      <c r="A80" s="57">
        <v>44994</v>
      </c>
      <c r="B80" t="s">
        <v>118</v>
      </c>
      <c r="C80" s="58" t="s">
        <v>160</v>
      </c>
      <c r="D80" s="59" t="s">
        <v>77</v>
      </c>
      <c r="E80" s="60"/>
      <c r="F80" s="61">
        <v>4000</v>
      </c>
      <c r="G80" s="61"/>
      <c r="H80" s="62" t="s">
        <v>235</v>
      </c>
      <c r="I80" s="63">
        <f t="shared" si="1"/>
        <v>0</v>
      </c>
      <c r="K80" s="64"/>
      <c r="L80" s="64"/>
      <c r="M80" s="64"/>
    </row>
    <row r="81" spans="1:13" ht="15" customHeight="1" x14ac:dyDescent="0.25">
      <c r="A81" s="57">
        <v>44994</v>
      </c>
      <c r="B81" t="s">
        <v>118</v>
      </c>
      <c r="C81" s="58" t="s">
        <v>157</v>
      </c>
      <c r="D81" s="65" t="s">
        <v>88</v>
      </c>
      <c r="E81" s="66" t="s">
        <v>188</v>
      </c>
      <c r="F81" s="67"/>
      <c r="G81" s="67">
        <v>4000</v>
      </c>
      <c r="H81" s="68" t="s">
        <v>235</v>
      </c>
      <c r="I81" s="63">
        <f t="shared" si="1"/>
        <v>0</v>
      </c>
      <c r="K81" s="64"/>
      <c r="L81" s="64"/>
      <c r="M81" s="64"/>
    </row>
    <row r="82" spans="1:13" ht="15" customHeight="1" x14ac:dyDescent="0.25">
      <c r="A82" s="57">
        <v>44995</v>
      </c>
      <c r="B82" t="s">
        <v>119</v>
      </c>
      <c r="C82" s="58" t="s">
        <v>160</v>
      </c>
      <c r="D82" s="59" t="s">
        <v>72</v>
      </c>
      <c r="E82" s="60"/>
      <c r="F82" s="61">
        <v>7500</v>
      </c>
      <c r="G82" s="61"/>
      <c r="H82" s="62" t="s">
        <v>236</v>
      </c>
      <c r="I82" s="63">
        <f t="shared" si="1"/>
        <v>0</v>
      </c>
      <c r="K82" s="64"/>
      <c r="L82" s="64"/>
      <c r="M82" s="64"/>
    </row>
    <row r="83" spans="1:13" ht="15" customHeight="1" x14ac:dyDescent="0.25">
      <c r="A83" s="57">
        <v>44995</v>
      </c>
      <c r="B83" t="s">
        <v>119</v>
      </c>
      <c r="C83" s="58" t="s">
        <v>157</v>
      </c>
      <c r="D83" s="65" t="s">
        <v>88</v>
      </c>
      <c r="E83" s="66" t="s">
        <v>188</v>
      </c>
      <c r="F83" s="67"/>
      <c r="G83" s="67">
        <v>7500</v>
      </c>
      <c r="H83" s="68" t="s">
        <v>236</v>
      </c>
      <c r="I83" s="63">
        <f t="shared" si="1"/>
        <v>0</v>
      </c>
      <c r="K83" s="64"/>
      <c r="L83" s="64"/>
      <c r="M83" s="64"/>
    </row>
    <row r="84" spans="1:13" ht="15" customHeight="1" x14ac:dyDescent="0.25">
      <c r="A84" s="57">
        <v>44996</v>
      </c>
      <c r="B84" t="s">
        <v>120</v>
      </c>
      <c r="C84" s="58" t="s">
        <v>160</v>
      </c>
      <c r="D84" s="59" t="s">
        <v>81</v>
      </c>
      <c r="E84" s="60"/>
      <c r="F84" s="61">
        <v>1500</v>
      </c>
      <c r="G84" s="61"/>
      <c r="H84" s="62" t="s">
        <v>237</v>
      </c>
      <c r="I84" s="63">
        <f t="shared" si="1"/>
        <v>0</v>
      </c>
      <c r="K84" s="64"/>
      <c r="L84" s="64"/>
      <c r="M84" s="64"/>
    </row>
    <row r="85" spans="1:13" ht="15" customHeight="1" x14ac:dyDescent="0.25">
      <c r="A85" s="57">
        <v>44996</v>
      </c>
      <c r="B85" t="s">
        <v>120</v>
      </c>
      <c r="C85" s="58" t="s">
        <v>157</v>
      </c>
      <c r="D85" s="65" t="s">
        <v>88</v>
      </c>
      <c r="E85" s="66" t="s">
        <v>188</v>
      </c>
      <c r="F85" s="67"/>
      <c r="G85" s="67">
        <v>1500</v>
      </c>
      <c r="H85" s="68" t="s">
        <v>237</v>
      </c>
      <c r="I85" s="63">
        <f t="shared" si="1"/>
        <v>0</v>
      </c>
      <c r="K85" s="64"/>
      <c r="L85" s="64"/>
      <c r="M85" s="64"/>
    </row>
    <row r="86" spans="1:13" ht="15" customHeight="1" x14ac:dyDescent="0.25">
      <c r="A86" s="57">
        <v>44997</v>
      </c>
      <c r="B86" t="s">
        <v>121</v>
      </c>
      <c r="C86" s="58" t="s">
        <v>160</v>
      </c>
      <c r="D86" s="59" t="s">
        <v>71</v>
      </c>
      <c r="E86" s="60"/>
      <c r="F86" s="61">
        <v>2000</v>
      </c>
      <c r="G86" s="61"/>
      <c r="H86" s="62" t="s">
        <v>238</v>
      </c>
      <c r="I86" s="63">
        <f t="shared" si="1"/>
        <v>0</v>
      </c>
      <c r="K86" s="64"/>
      <c r="L86" s="64"/>
      <c r="M86" s="64"/>
    </row>
    <row r="87" spans="1:13" ht="15" customHeight="1" x14ac:dyDescent="0.25">
      <c r="A87" s="57">
        <v>44997</v>
      </c>
      <c r="B87" t="s">
        <v>121</v>
      </c>
      <c r="C87" s="58" t="s">
        <v>157</v>
      </c>
      <c r="D87" s="65" t="s">
        <v>88</v>
      </c>
      <c r="E87" s="66" t="s">
        <v>188</v>
      </c>
      <c r="F87" s="67"/>
      <c r="G87" s="67">
        <v>2000</v>
      </c>
      <c r="H87" s="68" t="s">
        <v>238</v>
      </c>
      <c r="I87" s="63">
        <f t="shared" si="1"/>
        <v>0</v>
      </c>
      <c r="K87" s="64"/>
      <c r="L87" s="64"/>
      <c r="M87" s="64"/>
    </row>
    <row r="88" spans="1:13" ht="15" customHeight="1" x14ac:dyDescent="0.25">
      <c r="A88" s="57">
        <v>44998</v>
      </c>
      <c r="B88" t="s">
        <v>124</v>
      </c>
      <c r="C88" s="58" t="s">
        <v>160</v>
      </c>
      <c r="D88" s="59" t="s">
        <v>74</v>
      </c>
      <c r="E88" s="60"/>
      <c r="F88" s="61">
        <v>1500</v>
      </c>
      <c r="G88" s="61"/>
      <c r="H88" s="62" t="s">
        <v>239</v>
      </c>
      <c r="I88" s="63">
        <f t="shared" si="1"/>
        <v>0</v>
      </c>
      <c r="K88" s="64"/>
      <c r="L88" s="64"/>
      <c r="M88" s="64"/>
    </row>
    <row r="89" spans="1:13" ht="15" customHeight="1" x14ac:dyDescent="0.25">
      <c r="A89" s="57">
        <v>44998</v>
      </c>
      <c r="B89" t="s">
        <v>124</v>
      </c>
      <c r="C89" s="58" t="s">
        <v>157</v>
      </c>
      <c r="D89" s="65" t="s">
        <v>88</v>
      </c>
      <c r="E89" s="66" t="s">
        <v>188</v>
      </c>
      <c r="F89" s="67"/>
      <c r="G89" s="67">
        <v>1500</v>
      </c>
      <c r="H89" s="68" t="s">
        <v>239</v>
      </c>
      <c r="I89" s="63">
        <f t="shared" si="1"/>
        <v>0</v>
      </c>
      <c r="K89" s="64"/>
      <c r="L89" s="64"/>
      <c r="M89" s="64"/>
    </row>
    <row r="90" spans="1:13" ht="15" customHeight="1" x14ac:dyDescent="0.25">
      <c r="A90" s="57">
        <v>44999</v>
      </c>
      <c r="B90" t="s">
        <v>128</v>
      </c>
      <c r="C90" s="58" t="s">
        <v>160</v>
      </c>
      <c r="D90" s="59" t="s">
        <v>75</v>
      </c>
      <c r="E90" s="60"/>
      <c r="F90" s="61">
        <v>1000</v>
      </c>
      <c r="G90" s="61"/>
      <c r="H90" s="62" t="s">
        <v>240</v>
      </c>
      <c r="I90" s="63">
        <f t="shared" si="1"/>
        <v>0</v>
      </c>
      <c r="K90" s="64"/>
      <c r="L90" s="64"/>
      <c r="M90" s="64"/>
    </row>
    <row r="91" spans="1:13" ht="15" customHeight="1" x14ac:dyDescent="0.25">
      <c r="A91" s="57">
        <v>44999</v>
      </c>
      <c r="B91" t="s">
        <v>128</v>
      </c>
      <c r="C91" s="58" t="s">
        <v>157</v>
      </c>
      <c r="D91" s="65" t="s">
        <v>88</v>
      </c>
      <c r="E91" s="66" t="s">
        <v>188</v>
      </c>
      <c r="F91" s="67"/>
      <c r="G91" s="67">
        <v>1000</v>
      </c>
      <c r="H91" s="68" t="s">
        <v>240</v>
      </c>
      <c r="I91" s="63">
        <f t="shared" si="1"/>
        <v>0</v>
      </c>
      <c r="K91" s="64"/>
      <c r="L91" s="64"/>
      <c r="M91" s="64"/>
    </row>
    <row r="92" spans="1:13" ht="15" customHeight="1" x14ac:dyDescent="0.25">
      <c r="A92" s="57">
        <v>45001</v>
      </c>
      <c r="B92" t="s">
        <v>136</v>
      </c>
      <c r="C92" s="58" t="s">
        <v>157</v>
      </c>
      <c r="D92" s="59" t="s">
        <v>98</v>
      </c>
      <c r="E92" s="60"/>
      <c r="F92" s="61">
        <v>2500</v>
      </c>
      <c r="G92" s="61"/>
      <c r="H92" s="62" t="s">
        <v>241</v>
      </c>
      <c r="I92" s="63">
        <f t="shared" si="1"/>
        <v>0</v>
      </c>
      <c r="K92" s="64"/>
      <c r="L92" s="64"/>
      <c r="M92" s="64"/>
    </row>
    <row r="93" spans="1:13" ht="15" customHeight="1" x14ac:dyDescent="0.25">
      <c r="A93" s="57">
        <v>45001</v>
      </c>
      <c r="B93" t="s">
        <v>136</v>
      </c>
      <c r="C93" s="58" t="s">
        <v>157</v>
      </c>
      <c r="D93" s="65" t="s">
        <v>88</v>
      </c>
      <c r="E93" s="66" t="s">
        <v>242</v>
      </c>
      <c r="F93" s="67"/>
      <c r="G93" s="67">
        <v>2500</v>
      </c>
      <c r="H93" s="68" t="s">
        <v>241</v>
      </c>
      <c r="I93" s="63">
        <f t="shared" si="1"/>
        <v>0</v>
      </c>
      <c r="K93" s="64"/>
      <c r="L93" s="64"/>
      <c r="M93" s="64"/>
    </row>
    <row r="94" spans="1:13" ht="15" customHeight="1" x14ac:dyDescent="0.25">
      <c r="A94" s="57">
        <v>45003</v>
      </c>
      <c r="B94" t="s">
        <v>133</v>
      </c>
      <c r="C94" s="58" t="s">
        <v>157</v>
      </c>
      <c r="D94" s="59" t="s">
        <v>88</v>
      </c>
      <c r="E94" s="60" t="s">
        <v>243</v>
      </c>
      <c r="F94" s="61">
        <v>2000</v>
      </c>
      <c r="G94" s="61"/>
      <c r="H94" s="62" t="s">
        <v>244</v>
      </c>
      <c r="I94" s="63">
        <f t="shared" si="1"/>
        <v>0</v>
      </c>
      <c r="K94" s="64"/>
      <c r="L94" s="64"/>
      <c r="M94" s="64"/>
    </row>
    <row r="95" spans="1:13" ht="15" customHeight="1" x14ac:dyDescent="0.25">
      <c r="A95" s="57">
        <v>45003</v>
      </c>
      <c r="B95" t="s">
        <v>133</v>
      </c>
      <c r="C95" s="58" t="s">
        <v>60</v>
      </c>
      <c r="D95" s="65" t="s">
        <v>62</v>
      </c>
      <c r="E95" s="66"/>
      <c r="F95" s="67"/>
      <c r="G95" s="67">
        <v>2000</v>
      </c>
      <c r="H95" s="68" t="s">
        <v>244</v>
      </c>
      <c r="I95" s="63">
        <f t="shared" si="1"/>
        <v>0</v>
      </c>
      <c r="K95" s="64"/>
      <c r="L95" s="64"/>
      <c r="M95" s="64"/>
    </row>
    <row r="96" spans="1:13" ht="15" customHeight="1" x14ac:dyDescent="0.25">
      <c r="A96" s="57">
        <v>45011</v>
      </c>
      <c r="B96" t="s">
        <v>204</v>
      </c>
      <c r="C96" s="58" t="s">
        <v>160</v>
      </c>
      <c r="D96" s="59" t="s">
        <v>67</v>
      </c>
      <c r="E96" s="60"/>
      <c r="F96" s="61">
        <v>20000</v>
      </c>
      <c r="G96" s="61"/>
      <c r="H96" s="62" t="s">
        <v>245</v>
      </c>
      <c r="I96" s="63">
        <f t="shared" si="1"/>
        <v>0</v>
      </c>
      <c r="K96" s="64"/>
      <c r="L96" s="64"/>
      <c r="M96" s="64"/>
    </row>
    <row r="97" spans="1:13" ht="15" customHeight="1" x14ac:dyDescent="0.25">
      <c r="A97" s="57">
        <v>45011</v>
      </c>
      <c r="B97" t="s">
        <v>204</v>
      </c>
      <c r="C97" s="58" t="s">
        <v>157</v>
      </c>
      <c r="D97" s="65" t="s">
        <v>92</v>
      </c>
      <c r="E97" s="66"/>
      <c r="F97" s="67"/>
      <c r="G97" s="67">
        <v>20000</v>
      </c>
      <c r="H97" s="68" t="s">
        <v>245</v>
      </c>
      <c r="I97" s="63">
        <f t="shared" si="1"/>
        <v>0</v>
      </c>
      <c r="K97" s="64"/>
      <c r="L97" s="64"/>
      <c r="M97" s="64"/>
    </row>
    <row r="98" spans="1:13" ht="15" customHeight="1" x14ac:dyDescent="0.25">
      <c r="A98" s="57">
        <v>45012</v>
      </c>
      <c r="B98" t="s">
        <v>207</v>
      </c>
      <c r="C98" s="58" t="s">
        <v>160</v>
      </c>
      <c r="D98" s="59" t="s">
        <v>73</v>
      </c>
      <c r="E98" s="60"/>
      <c r="F98" s="61">
        <v>600</v>
      </c>
      <c r="G98" s="61"/>
      <c r="H98" s="62" t="s">
        <v>246</v>
      </c>
      <c r="I98" s="63">
        <f t="shared" si="1"/>
        <v>0</v>
      </c>
      <c r="K98" s="64"/>
      <c r="L98" s="64"/>
      <c r="M98" s="64"/>
    </row>
    <row r="99" spans="1:13" ht="15" customHeight="1" x14ac:dyDescent="0.25">
      <c r="A99" s="57">
        <v>45012</v>
      </c>
      <c r="B99" t="s">
        <v>207</v>
      </c>
      <c r="C99" s="58" t="s">
        <v>157</v>
      </c>
      <c r="D99" s="65" t="s">
        <v>100</v>
      </c>
      <c r="E99" s="66"/>
      <c r="F99" s="67"/>
      <c r="G99" s="67">
        <v>600</v>
      </c>
      <c r="H99" s="68" t="s">
        <v>246</v>
      </c>
      <c r="I99" s="63">
        <f t="shared" si="1"/>
        <v>0</v>
      </c>
      <c r="K99" s="64"/>
      <c r="L99" s="64"/>
      <c r="M99" s="64"/>
    </row>
    <row r="100" spans="1:13" ht="15" customHeight="1" x14ac:dyDescent="0.25">
      <c r="A100" s="57">
        <v>45018</v>
      </c>
      <c r="B100" t="s">
        <v>181</v>
      </c>
      <c r="C100" s="58" t="s">
        <v>157</v>
      </c>
      <c r="D100" s="59" t="s">
        <v>90</v>
      </c>
      <c r="E100" s="60"/>
      <c r="F100" s="61">
        <v>24000</v>
      </c>
      <c r="G100" s="61"/>
      <c r="H100" s="62" t="s">
        <v>247</v>
      </c>
      <c r="I100" s="63">
        <f t="shared" si="1"/>
        <v>0</v>
      </c>
      <c r="K100" s="64"/>
      <c r="L100" s="64"/>
      <c r="M100" s="64"/>
    </row>
    <row r="101" spans="1:13" ht="15" customHeight="1" x14ac:dyDescent="0.25">
      <c r="A101" s="57">
        <v>45018</v>
      </c>
      <c r="B101" t="s">
        <v>181</v>
      </c>
      <c r="C101" s="58" t="s">
        <v>60</v>
      </c>
      <c r="D101" s="65" t="s">
        <v>63</v>
      </c>
      <c r="E101" s="66"/>
      <c r="F101" s="67"/>
      <c r="G101" s="67">
        <v>24000</v>
      </c>
      <c r="H101" s="68" t="s">
        <v>247</v>
      </c>
      <c r="I101" s="63">
        <f t="shared" si="1"/>
        <v>0</v>
      </c>
      <c r="K101" s="64"/>
      <c r="L101" s="64"/>
      <c r="M101" s="64"/>
    </row>
    <row r="102" spans="1:13" ht="15" customHeight="1" x14ac:dyDescent="0.25">
      <c r="A102" s="57">
        <v>45019</v>
      </c>
      <c r="B102" t="s">
        <v>184</v>
      </c>
      <c r="C102" s="58" t="s">
        <v>157</v>
      </c>
      <c r="D102" s="59" t="s">
        <v>92</v>
      </c>
      <c r="E102" s="60"/>
      <c r="F102" s="61">
        <v>18000</v>
      </c>
      <c r="G102" s="61"/>
      <c r="H102" s="62" t="s">
        <v>248</v>
      </c>
      <c r="I102" s="63">
        <f t="shared" si="1"/>
        <v>0</v>
      </c>
      <c r="L102" s="64"/>
      <c r="M102" s="64"/>
    </row>
    <row r="103" spans="1:13" ht="15" customHeight="1" x14ac:dyDescent="0.25">
      <c r="A103" s="57">
        <v>45019</v>
      </c>
      <c r="B103" t="s">
        <v>184</v>
      </c>
      <c r="C103" s="58" t="s">
        <v>158</v>
      </c>
      <c r="D103" s="65" t="s">
        <v>89</v>
      </c>
      <c r="E103" s="66"/>
      <c r="F103" s="67"/>
      <c r="G103" s="67">
        <v>18000</v>
      </c>
      <c r="H103" s="68" t="s">
        <v>248</v>
      </c>
      <c r="I103" s="63">
        <f t="shared" si="1"/>
        <v>0</v>
      </c>
      <c r="L103" s="64"/>
      <c r="M103" s="64"/>
    </row>
    <row r="104" spans="1:13" ht="15" customHeight="1" x14ac:dyDescent="0.25">
      <c r="A104" s="57">
        <v>45020</v>
      </c>
      <c r="B104" t="s">
        <v>122</v>
      </c>
      <c r="C104" s="58" t="s">
        <v>158</v>
      </c>
      <c r="D104" s="59" t="s">
        <v>89</v>
      </c>
      <c r="E104" s="60"/>
      <c r="F104" s="61">
        <v>0</v>
      </c>
      <c r="G104" s="61"/>
      <c r="H104" s="62" t="s">
        <v>249</v>
      </c>
      <c r="I104" s="63">
        <f t="shared" si="1"/>
        <v>0</v>
      </c>
      <c r="L104" s="64"/>
      <c r="M104" s="64"/>
    </row>
    <row r="105" spans="1:13" ht="15" customHeight="1" x14ac:dyDescent="0.25">
      <c r="A105" s="57">
        <v>45020</v>
      </c>
      <c r="B105" t="s">
        <v>122</v>
      </c>
      <c r="C105" s="58" t="s">
        <v>157</v>
      </c>
      <c r="D105" s="65" t="s">
        <v>88</v>
      </c>
      <c r="E105" s="66" t="s">
        <v>188</v>
      </c>
      <c r="F105" s="67"/>
      <c r="G105" s="67">
        <v>0</v>
      </c>
      <c r="H105" s="68" t="s">
        <v>249</v>
      </c>
      <c r="I105" s="63">
        <f t="shared" si="1"/>
        <v>0</v>
      </c>
      <c r="L105" s="64"/>
      <c r="M105" s="64"/>
    </row>
    <row r="106" spans="1:13" ht="15" customHeight="1" x14ac:dyDescent="0.25">
      <c r="A106" s="57">
        <v>45021</v>
      </c>
      <c r="B106" t="s">
        <v>115</v>
      </c>
      <c r="C106" s="58" t="s">
        <v>157</v>
      </c>
      <c r="D106" s="59" t="s">
        <v>88</v>
      </c>
      <c r="E106" s="60" t="s">
        <v>190</v>
      </c>
      <c r="F106" s="61">
        <v>11000</v>
      </c>
      <c r="G106" s="61"/>
      <c r="H106" s="62" t="s">
        <v>250</v>
      </c>
      <c r="I106" s="63">
        <f t="shared" si="1"/>
        <v>0</v>
      </c>
      <c r="M106" s="64"/>
    </row>
    <row r="107" spans="1:13" ht="15" customHeight="1" x14ac:dyDescent="0.25">
      <c r="A107" s="57">
        <v>45021</v>
      </c>
      <c r="B107" t="s">
        <v>115</v>
      </c>
      <c r="C107" s="58" t="s">
        <v>60</v>
      </c>
      <c r="D107" s="65" t="s">
        <v>63</v>
      </c>
      <c r="E107" s="66"/>
      <c r="F107" s="67"/>
      <c r="G107" s="67">
        <v>11000</v>
      </c>
      <c r="H107" s="68" t="s">
        <v>250</v>
      </c>
      <c r="I107" s="63">
        <f t="shared" si="1"/>
        <v>0</v>
      </c>
      <c r="M107" s="64"/>
    </row>
    <row r="108" spans="1:13" ht="15" customHeight="1" x14ac:dyDescent="0.25">
      <c r="A108" s="57">
        <v>45022</v>
      </c>
      <c r="B108" t="s">
        <v>113</v>
      </c>
      <c r="C108" s="58" t="s">
        <v>157</v>
      </c>
      <c r="D108" s="59" t="s">
        <v>88</v>
      </c>
      <c r="E108" s="60" t="s">
        <v>190</v>
      </c>
      <c r="F108" s="61">
        <v>7500</v>
      </c>
      <c r="G108" s="61"/>
      <c r="H108" s="62" t="s">
        <v>251</v>
      </c>
      <c r="I108" s="63">
        <f t="shared" si="1"/>
        <v>0</v>
      </c>
      <c r="M108" s="64"/>
    </row>
    <row r="109" spans="1:13" ht="15" customHeight="1" x14ac:dyDescent="0.25">
      <c r="A109" s="57">
        <v>45022</v>
      </c>
      <c r="B109" t="s">
        <v>113</v>
      </c>
      <c r="C109" s="58" t="s">
        <v>60</v>
      </c>
      <c r="D109" s="65" t="s">
        <v>61</v>
      </c>
      <c r="E109" s="66"/>
      <c r="F109" s="67"/>
      <c r="G109" s="67">
        <v>7500</v>
      </c>
      <c r="H109" s="68" t="s">
        <v>251</v>
      </c>
      <c r="I109" s="63">
        <f t="shared" si="1"/>
        <v>0</v>
      </c>
      <c r="M109" s="64"/>
    </row>
    <row r="110" spans="1:13" ht="15" customHeight="1" x14ac:dyDescent="0.25">
      <c r="A110" s="57">
        <v>45023</v>
      </c>
      <c r="B110" t="s">
        <v>194</v>
      </c>
      <c r="C110" s="58" t="s">
        <v>157</v>
      </c>
      <c r="D110" s="59" t="s">
        <v>90</v>
      </c>
      <c r="E110" s="60"/>
      <c r="F110" s="61">
        <v>11000</v>
      </c>
      <c r="G110" s="61"/>
      <c r="H110" s="62" t="s">
        <v>252</v>
      </c>
      <c r="I110" s="63">
        <f t="shared" si="1"/>
        <v>0</v>
      </c>
      <c r="M110" s="64"/>
    </row>
    <row r="111" spans="1:13" ht="15" customHeight="1" x14ac:dyDescent="0.25">
      <c r="A111" s="57">
        <v>45023</v>
      </c>
      <c r="B111" t="s">
        <v>194</v>
      </c>
      <c r="C111" s="58" t="s">
        <v>60</v>
      </c>
      <c r="D111" s="65" t="s">
        <v>64</v>
      </c>
      <c r="E111" s="66"/>
      <c r="F111" s="67"/>
      <c r="G111" s="67">
        <v>11000</v>
      </c>
      <c r="H111" s="68" t="s">
        <v>252</v>
      </c>
      <c r="I111" s="63">
        <f t="shared" si="1"/>
        <v>0</v>
      </c>
      <c r="M111" s="64"/>
    </row>
    <row r="112" spans="1:13" ht="15" customHeight="1" x14ac:dyDescent="0.25">
      <c r="A112" s="57">
        <v>45024</v>
      </c>
      <c r="B112" t="s">
        <v>114</v>
      </c>
      <c r="C112" s="58" t="s">
        <v>157</v>
      </c>
      <c r="D112" s="59" t="s">
        <v>88</v>
      </c>
      <c r="E112" s="60" t="s">
        <v>190</v>
      </c>
      <c r="F112" s="61">
        <v>29000</v>
      </c>
      <c r="G112" s="61"/>
      <c r="H112" s="62" t="s">
        <v>253</v>
      </c>
      <c r="I112" s="63">
        <f t="shared" si="1"/>
        <v>0</v>
      </c>
      <c r="M112" s="64"/>
    </row>
    <row r="113" spans="1:13" ht="15" customHeight="1" x14ac:dyDescent="0.25">
      <c r="A113" s="57">
        <v>45024</v>
      </c>
      <c r="B113" t="s">
        <v>114</v>
      </c>
      <c r="C113" s="58" t="s">
        <v>157</v>
      </c>
      <c r="D113" s="65" t="s">
        <v>90</v>
      </c>
      <c r="E113" s="66"/>
      <c r="F113" s="67"/>
      <c r="G113" s="67">
        <v>29000</v>
      </c>
      <c r="H113" s="68" t="s">
        <v>253</v>
      </c>
      <c r="I113" s="63">
        <f t="shared" si="1"/>
        <v>0</v>
      </c>
      <c r="M113" s="64"/>
    </row>
    <row r="114" spans="1:13" ht="15" customHeight="1" x14ac:dyDescent="0.25">
      <c r="A114" s="57">
        <v>45025</v>
      </c>
      <c r="B114" t="s">
        <v>118</v>
      </c>
      <c r="C114" s="58" t="s">
        <v>160</v>
      </c>
      <c r="D114" s="59" t="s">
        <v>77</v>
      </c>
      <c r="E114" s="60"/>
      <c r="F114" s="61">
        <v>5500</v>
      </c>
      <c r="G114" s="61"/>
      <c r="H114" s="62" t="s">
        <v>254</v>
      </c>
      <c r="I114" s="63">
        <f t="shared" si="1"/>
        <v>0</v>
      </c>
      <c r="M114" s="64"/>
    </row>
    <row r="115" spans="1:13" ht="15" customHeight="1" x14ac:dyDescent="0.25">
      <c r="A115" s="57">
        <v>45025</v>
      </c>
      <c r="B115" t="s">
        <v>118</v>
      </c>
      <c r="C115" s="58" t="s">
        <v>157</v>
      </c>
      <c r="D115" s="65" t="s">
        <v>88</v>
      </c>
      <c r="E115" s="66" t="s">
        <v>188</v>
      </c>
      <c r="F115" s="67"/>
      <c r="G115" s="67">
        <v>5500</v>
      </c>
      <c r="H115" s="68" t="s">
        <v>254</v>
      </c>
      <c r="I115" s="63">
        <f t="shared" si="1"/>
        <v>0</v>
      </c>
      <c r="M115" s="64"/>
    </row>
    <row r="116" spans="1:13" ht="15" customHeight="1" x14ac:dyDescent="0.25">
      <c r="A116" s="57">
        <v>45026</v>
      </c>
      <c r="B116" t="s">
        <v>119</v>
      </c>
      <c r="C116" s="58" t="s">
        <v>160</v>
      </c>
      <c r="D116" s="59" t="s">
        <v>72</v>
      </c>
      <c r="E116" s="60"/>
      <c r="F116" s="61">
        <v>5500</v>
      </c>
      <c r="G116" s="61"/>
      <c r="H116" s="62" t="s">
        <v>255</v>
      </c>
      <c r="I116" s="63">
        <f t="shared" si="1"/>
        <v>0</v>
      </c>
      <c r="M116" s="64"/>
    </row>
    <row r="117" spans="1:13" ht="15" customHeight="1" x14ac:dyDescent="0.25">
      <c r="A117" s="57">
        <v>45026</v>
      </c>
      <c r="B117" t="s">
        <v>119</v>
      </c>
      <c r="C117" s="58" t="s">
        <v>157</v>
      </c>
      <c r="D117" s="65" t="s">
        <v>88</v>
      </c>
      <c r="E117" s="66" t="s">
        <v>188</v>
      </c>
      <c r="F117" s="67"/>
      <c r="G117" s="67">
        <v>5500</v>
      </c>
      <c r="H117" s="68" t="s">
        <v>255</v>
      </c>
      <c r="I117" s="63">
        <f t="shared" si="1"/>
        <v>0</v>
      </c>
      <c r="M117" s="64"/>
    </row>
    <row r="118" spans="1:13" ht="15" customHeight="1" x14ac:dyDescent="0.25">
      <c r="A118" s="57">
        <v>45027</v>
      </c>
      <c r="B118" t="s">
        <v>120</v>
      </c>
      <c r="C118" s="58" t="s">
        <v>160</v>
      </c>
      <c r="D118" s="59" t="s">
        <v>81</v>
      </c>
      <c r="E118" s="60"/>
      <c r="F118" s="61">
        <v>1500</v>
      </c>
      <c r="G118" s="61"/>
      <c r="H118" s="62" t="s">
        <v>256</v>
      </c>
      <c r="I118" s="63">
        <f t="shared" si="1"/>
        <v>0</v>
      </c>
      <c r="M118" s="64"/>
    </row>
    <row r="119" spans="1:13" ht="15" customHeight="1" x14ac:dyDescent="0.25">
      <c r="A119" s="57">
        <v>45027</v>
      </c>
      <c r="B119" t="s">
        <v>120</v>
      </c>
      <c r="C119" s="58" t="s">
        <v>157</v>
      </c>
      <c r="D119" s="65" t="s">
        <v>88</v>
      </c>
      <c r="E119" s="66" t="s">
        <v>188</v>
      </c>
      <c r="F119" s="67"/>
      <c r="G119" s="67">
        <v>1500</v>
      </c>
      <c r="H119" s="68" t="s">
        <v>256</v>
      </c>
      <c r="I119" s="63">
        <f t="shared" si="1"/>
        <v>0</v>
      </c>
      <c r="M119" s="64"/>
    </row>
    <row r="120" spans="1:13" ht="15" customHeight="1" x14ac:dyDescent="0.25">
      <c r="A120" s="57">
        <v>45028</v>
      </c>
      <c r="B120" t="s">
        <v>121</v>
      </c>
      <c r="C120" s="58" t="s">
        <v>160</v>
      </c>
      <c r="D120" s="59" t="s">
        <v>71</v>
      </c>
      <c r="E120" s="60"/>
      <c r="F120" s="61">
        <v>1000</v>
      </c>
      <c r="G120" s="61"/>
      <c r="H120" s="62" t="s">
        <v>257</v>
      </c>
      <c r="I120" s="63">
        <f t="shared" si="1"/>
        <v>0</v>
      </c>
      <c r="M120" s="64"/>
    </row>
    <row r="121" spans="1:13" ht="15" customHeight="1" x14ac:dyDescent="0.25">
      <c r="A121" s="57">
        <v>45028</v>
      </c>
      <c r="B121" t="s">
        <v>121</v>
      </c>
      <c r="C121" s="58" t="s">
        <v>157</v>
      </c>
      <c r="D121" s="65" t="s">
        <v>88</v>
      </c>
      <c r="E121" s="66" t="s">
        <v>188</v>
      </c>
      <c r="F121" s="67"/>
      <c r="G121" s="67">
        <v>1000</v>
      </c>
      <c r="H121" s="68" t="s">
        <v>257</v>
      </c>
      <c r="I121" s="63">
        <f t="shared" si="1"/>
        <v>0</v>
      </c>
      <c r="M121" s="64"/>
    </row>
    <row r="122" spans="1:13" ht="15" customHeight="1" x14ac:dyDescent="0.25">
      <c r="A122" s="57">
        <v>45029</v>
      </c>
      <c r="B122" t="s">
        <v>125</v>
      </c>
      <c r="C122" s="58" t="s">
        <v>160</v>
      </c>
      <c r="D122" s="59" t="s">
        <v>76</v>
      </c>
      <c r="E122" s="60"/>
      <c r="F122" s="61">
        <v>300</v>
      </c>
      <c r="G122" s="61"/>
      <c r="H122" s="62" t="s">
        <v>258</v>
      </c>
      <c r="I122" s="63">
        <f t="shared" si="1"/>
        <v>0</v>
      </c>
      <c r="M122" s="64"/>
    </row>
    <row r="123" spans="1:13" ht="15" customHeight="1" x14ac:dyDescent="0.25">
      <c r="A123" s="57">
        <v>45029</v>
      </c>
      <c r="B123" t="s">
        <v>125</v>
      </c>
      <c r="C123" s="58" t="s">
        <v>157</v>
      </c>
      <c r="D123" s="65" t="s">
        <v>88</v>
      </c>
      <c r="E123" s="66" t="s">
        <v>188</v>
      </c>
      <c r="F123" s="67"/>
      <c r="G123" s="67">
        <v>300</v>
      </c>
      <c r="H123" s="68" t="s">
        <v>258</v>
      </c>
      <c r="I123" s="63">
        <f t="shared" si="1"/>
        <v>0</v>
      </c>
      <c r="M123" s="64"/>
    </row>
    <row r="124" spans="1:13" ht="15" customHeight="1" x14ac:dyDescent="0.25">
      <c r="A124" s="57">
        <v>45030</v>
      </c>
      <c r="B124" t="s">
        <v>128</v>
      </c>
      <c r="C124" s="58" t="s">
        <v>160</v>
      </c>
      <c r="D124" s="59" t="s">
        <v>75</v>
      </c>
      <c r="E124" s="60"/>
      <c r="F124" s="61">
        <v>500</v>
      </c>
      <c r="G124" s="61"/>
      <c r="H124" s="62" t="s">
        <v>259</v>
      </c>
      <c r="I124" s="63">
        <f t="shared" si="1"/>
        <v>0</v>
      </c>
      <c r="M124" s="64"/>
    </row>
    <row r="125" spans="1:13" ht="15" customHeight="1" x14ac:dyDescent="0.25">
      <c r="A125" s="57">
        <v>45030</v>
      </c>
      <c r="B125" t="s">
        <v>128</v>
      </c>
      <c r="C125" s="58" t="s">
        <v>157</v>
      </c>
      <c r="D125" s="65" t="s">
        <v>88</v>
      </c>
      <c r="E125" s="66" t="s">
        <v>188</v>
      </c>
      <c r="F125" s="67"/>
      <c r="G125" s="67">
        <v>500</v>
      </c>
      <c r="H125" s="68" t="s">
        <v>259</v>
      </c>
      <c r="I125" s="63">
        <f t="shared" si="1"/>
        <v>0</v>
      </c>
      <c r="M125" s="64"/>
    </row>
    <row r="126" spans="1:13" ht="15" customHeight="1" x14ac:dyDescent="0.25">
      <c r="A126" s="57">
        <v>45042</v>
      </c>
      <c r="B126" t="s">
        <v>204</v>
      </c>
      <c r="C126" s="58" t="s">
        <v>160</v>
      </c>
      <c r="D126" s="59" t="s">
        <v>67</v>
      </c>
      <c r="E126" s="60"/>
      <c r="F126" s="61">
        <v>15000</v>
      </c>
      <c r="G126" s="61"/>
      <c r="H126" s="62" t="s">
        <v>260</v>
      </c>
      <c r="I126" s="63">
        <f t="shared" si="1"/>
        <v>0</v>
      </c>
      <c r="M126" s="64"/>
    </row>
    <row r="127" spans="1:13" ht="15" customHeight="1" x14ac:dyDescent="0.25">
      <c r="A127" s="57">
        <v>45042</v>
      </c>
      <c r="B127" t="s">
        <v>204</v>
      </c>
      <c r="C127" s="58" t="s">
        <v>157</v>
      </c>
      <c r="D127" s="65" t="s">
        <v>92</v>
      </c>
      <c r="E127" s="66"/>
      <c r="F127" s="67"/>
      <c r="G127" s="67">
        <v>15000</v>
      </c>
      <c r="H127" s="68" t="s">
        <v>260</v>
      </c>
      <c r="I127" s="63">
        <f t="shared" si="1"/>
        <v>0</v>
      </c>
      <c r="M127" s="64"/>
    </row>
    <row r="128" spans="1:13" ht="15" customHeight="1" x14ac:dyDescent="0.25">
      <c r="A128" s="57">
        <v>45043</v>
      </c>
      <c r="B128" t="s">
        <v>207</v>
      </c>
      <c r="C128" s="58" t="s">
        <v>160</v>
      </c>
      <c r="D128" s="59" t="s">
        <v>73</v>
      </c>
      <c r="E128" s="60"/>
      <c r="F128" s="61">
        <v>1000</v>
      </c>
      <c r="G128" s="61"/>
      <c r="H128" s="62" t="s">
        <v>261</v>
      </c>
      <c r="I128" s="63">
        <f t="shared" si="1"/>
        <v>0</v>
      </c>
      <c r="M128" s="64"/>
    </row>
    <row r="129" spans="1:13" ht="15" customHeight="1" x14ac:dyDescent="0.25">
      <c r="A129" s="57">
        <v>45043</v>
      </c>
      <c r="B129" t="s">
        <v>207</v>
      </c>
      <c r="C129" s="58" t="s">
        <v>157</v>
      </c>
      <c r="D129" s="65" t="s">
        <v>100</v>
      </c>
      <c r="E129" s="66"/>
      <c r="F129" s="67"/>
      <c r="G129" s="67">
        <v>1000</v>
      </c>
      <c r="H129" s="68" t="s">
        <v>261</v>
      </c>
      <c r="I129" s="63">
        <f t="shared" si="1"/>
        <v>0</v>
      </c>
      <c r="M129" s="64"/>
    </row>
    <row r="130" spans="1:13" ht="15" customHeight="1" x14ac:dyDescent="0.25">
      <c r="A130" s="57">
        <v>45048</v>
      </c>
      <c r="B130" t="s">
        <v>181</v>
      </c>
      <c r="C130" s="58" t="s">
        <v>157</v>
      </c>
      <c r="D130" s="59" t="s">
        <v>90</v>
      </c>
      <c r="E130" s="60"/>
      <c r="F130" s="61">
        <v>21000</v>
      </c>
      <c r="G130" s="61"/>
      <c r="H130" s="62" t="s">
        <v>262</v>
      </c>
      <c r="I130" s="63">
        <f t="shared" ref="I130:I193" si="2">SUMIF($H:$H,H130,$F:$F)-SUMIF($H:$H,H130,$G:$G)</f>
        <v>0</v>
      </c>
      <c r="M130" s="64"/>
    </row>
    <row r="131" spans="1:13" ht="15" customHeight="1" x14ac:dyDescent="0.25">
      <c r="A131" s="57">
        <v>45048</v>
      </c>
      <c r="B131" t="s">
        <v>181</v>
      </c>
      <c r="C131" s="58" t="s">
        <v>60</v>
      </c>
      <c r="D131" s="65" t="s">
        <v>63</v>
      </c>
      <c r="E131" s="66"/>
      <c r="F131" s="67"/>
      <c r="G131" s="67">
        <v>21000</v>
      </c>
      <c r="H131" s="68" t="s">
        <v>262</v>
      </c>
      <c r="I131" s="63">
        <f t="shared" si="2"/>
        <v>0</v>
      </c>
      <c r="M131" s="64"/>
    </row>
    <row r="132" spans="1:13" ht="15" customHeight="1" x14ac:dyDescent="0.25">
      <c r="A132" s="57">
        <v>45049</v>
      </c>
      <c r="B132" t="s">
        <v>184</v>
      </c>
      <c r="C132" s="58" t="s">
        <v>157</v>
      </c>
      <c r="D132" s="59" t="s">
        <v>92</v>
      </c>
      <c r="E132" s="60"/>
      <c r="F132" s="61">
        <v>17000</v>
      </c>
      <c r="G132" s="61"/>
      <c r="H132" s="62" t="s">
        <v>263</v>
      </c>
      <c r="I132" s="63">
        <f t="shared" si="2"/>
        <v>0</v>
      </c>
      <c r="M132" s="64"/>
    </row>
    <row r="133" spans="1:13" ht="15" customHeight="1" x14ac:dyDescent="0.25">
      <c r="A133" s="57">
        <v>45049</v>
      </c>
      <c r="B133" t="s">
        <v>184</v>
      </c>
      <c r="C133" s="58" t="s">
        <v>158</v>
      </c>
      <c r="D133" s="65" t="s">
        <v>89</v>
      </c>
      <c r="E133" s="66"/>
      <c r="F133" s="67"/>
      <c r="G133" s="67">
        <v>17000</v>
      </c>
      <c r="H133" s="68" t="s">
        <v>263</v>
      </c>
      <c r="I133" s="63">
        <f t="shared" si="2"/>
        <v>0</v>
      </c>
      <c r="M133" s="64"/>
    </row>
    <row r="134" spans="1:13" ht="15" customHeight="1" x14ac:dyDescent="0.25">
      <c r="A134" s="57">
        <v>45050</v>
      </c>
      <c r="B134" t="s">
        <v>122</v>
      </c>
      <c r="C134" s="58" t="s">
        <v>158</v>
      </c>
      <c r="D134" s="59" t="s">
        <v>89</v>
      </c>
      <c r="E134" s="60"/>
      <c r="F134" s="61">
        <v>0</v>
      </c>
      <c r="G134" s="61"/>
      <c r="H134" s="62" t="s">
        <v>264</v>
      </c>
      <c r="I134" s="63">
        <f t="shared" si="2"/>
        <v>0</v>
      </c>
      <c r="M134" s="64"/>
    </row>
    <row r="135" spans="1:13" ht="15" customHeight="1" x14ac:dyDescent="0.25">
      <c r="A135" s="57">
        <v>45050</v>
      </c>
      <c r="B135" t="s">
        <v>122</v>
      </c>
      <c r="C135" s="58" t="s">
        <v>157</v>
      </c>
      <c r="D135" s="65" t="s">
        <v>88</v>
      </c>
      <c r="E135" s="66" t="s">
        <v>188</v>
      </c>
      <c r="F135" s="67"/>
      <c r="G135" s="67">
        <v>0</v>
      </c>
      <c r="H135" s="68" t="s">
        <v>264</v>
      </c>
      <c r="I135" s="63">
        <f t="shared" si="2"/>
        <v>0</v>
      </c>
      <c r="M135" s="64"/>
    </row>
    <row r="136" spans="1:13" ht="15" customHeight="1" x14ac:dyDescent="0.25">
      <c r="A136" s="57">
        <v>45051</v>
      </c>
      <c r="B136" t="s">
        <v>115</v>
      </c>
      <c r="C136" s="58" t="s">
        <v>157</v>
      </c>
      <c r="D136" s="59" t="s">
        <v>88</v>
      </c>
      <c r="E136" s="60" t="s">
        <v>190</v>
      </c>
      <c r="F136" s="61">
        <v>12000</v>
      </c>
      <c r="G136" s="61"/>
      <c r="H136" s="62" t="s">
        <v>265</v>
      </c>
      <c r="I136" s="63">
        <f t="shared" si="2"/>
        <v>0</v>
      </c>
      <c r="M136" s="64"/>
    </row>
    <row r="137" spans="1:13" ht="15" customHeight="1" x14ac:dyDescent="0.25">
      <c r="A137" s="57">
        <v>45051</v>
      </c>
      <c r="B137" t="s">
        <v>115</v>
      </c>
      <c r="C137" s="58" t="s">
        <v>60</v>
      </c>
      <c r="D137" s="65" t="s">
        <v>63</v>
      </c>
      <c r="E137" s="66"/>
      <c r="F137" s="67"/>
      <c r="G137" s="67">
        <v>12000</v>
      </c>
      <c r="H137" s="68" t="s">
        <v>265</v>
      </c>
      <c r="I137" s="63">
        <f t="shared" si="2"/>
        <v>0</v>
      </c>
      <c r="M137" s="64"/>
    </row>
    <row r="138" spans="1:13" ht="15" customHeight="1" x14ac:dyDescent="0.25">
      <c r="A138" s="57">
        <v>45052</v>
      </c>
      <c r="B138" t="s">
        <v>113</v>
      </c>
      <c r="C138" s="58" t="s">
        <v>157</v>
      </c>
      <c r="D138" s="59" t="s">
        <v>88</v>
      </c>
      <c r="E138" s="60" t="s">
        <v>190</v>
      </c>
      <c r="F138" s="61">
        <v>3500</v>
      </c>
      <c r="G138" s="61"/>
      <c r="H138" s="62" t="s">
        <v>266</v>
      </c>
      <c r="I138" s="63">
        <f t="shared" si="2"/>
        <v>0</v>
      </c>
      <c r="M138" s="64"/>
    </row>
    <row r="139" spans="1:13" ht="15" customHeight="1" x14ac:dyDescent="0.25">
      <c r="A139" s="57">
        <v>45052</v>
      </c>
      <c r="B139" t="s">
        <v>113</v>
      </c>
      <c r="C139" s="58" t="s">
        <v>60</v>
      </c>
      <c r="D139" s="65" t="s">
        <v>61</v>
      </c>
      <c r="E139" s="66"/>
      <c r="F139" s="67"/>
      <c r="G139" s="67">
        <v>3500</v>
      </c>
      <c r="H139" s="68" t="s">
        <v>266</v>
      </c>
      <c r="I139" s="63">
        <f t="shared" si="2"/>
        <v>0</v>
      </c>
      <c r="M139" s="64"/>
    </row>
    <row r="140" spans="1:13" ht="15" customHeight="1" x14ac:dyDescent="0.25">
      <c r="A140" s="57">
        <v>45053</v>
      </c>
      <c r="B140" t="s">
        <v>194</v>
      </c>
      <c r="C140" s="58" t="s">
        <v>157</v>
      </c>
      <c r="D140" s="59" t="s">
        <v>90</v>
      </c>
      <c r="E140" s="60"/>
      <c r="F140" s="61">
        <v>9000</v>
      </c>
      <c r="G140" s="61"/>
      <c r="H140" s="62" t="s">
        <v>267</v>
      </c>
      <c r="I140" s="63">
        <f t="shared" si="2"/>
        <v>0</v>
      </c>
      <c r="M140" s="64"/>
    </row>
    <row r="141" spans="1:13" ht="15" customHeight="1" x14ac:dyDescent="0.25">
      <c r="A141" s="57">
        <v>45053</v>
      </c>
      <c r="B141" t="s">
        <v>194</v>
      </c>
      <c r="C141" s="58" t="s">
        <v>60</v>
      </c>
      <c r="D141" s="65" t="s">
        <v>64</v>
      </c>
      <c r="E141" s="66"/>
      <c r="F141" s="67"/>
      <c r="G141" s="67">
        <v>9000</v>
      </c>
      <c r="H141" s="68" t="s">
        <v>267</v>
      </c>
      <c r="I141" s="63">
        <f t="shared" si="2"/>
        <v>0</v>
      </c>
      <c r="M141" s="64"/>
    </row>
    <row r="142" spans="1:13" ht="15" customHeight="1" x14ac:dyDescent="0.25">
      <c r="A142" s="57">
        <v>45054</v>
      </c>
      <c r="B142" t="s">
        <v>114</v>
      </c>
      <c r="C142" s="58" t="s">
        <v>157</v>
      </c>
      <c r="D142" s="59" t="s">
        <v>88</v>
      </c>
      <c r="E142" s="60" t="s">
        <v>190</v>
      </c>
      <c r="F142" s="61">
        <v>23000</v>
      </c>
      <c r="G142" s="61"/>
      <c r="H142" s="62" t="s">
        <v>268</v>
      </c>
      <c r="I142" s="63">
        <f t="shared" si="2"/>
        <v>0</v>
      </c>
      <c r="M142" s="64"/>
    </row>
    <row r="143" spans="1:13" ht="15" customHeight="1" x14ac:dyDescent="0.25">
      <c r="A143" s="57">
        <v>45054</v>
      </c>
      <c r="B143" t="s">
        <v>114</v>
      </c>
      <c r="C143" s="58" t="s">
        <v>157</v>
      </c>
      <c r="D143" s="65" t="s">
        <v>90</v>
      </c>
      <c r="E143" s="66"/>
      <c r="F143" s="67"/>
      <c r="G143" s="67">
        <v>23000</v>
      </c>
      <c r="H143" s="68" t="s">
        <v>268</v>
      </c>
      <c r="I143" s="63">
        <f t="shared" si="2"/>
        <v>0</v>
      </c>
      <c r="M143" s="64"/>
    </row>
    <row r="144" spans="1:13" ht="15" customHeight="1" x14ac:dyDescent="0.25">
      <c r="A144" s="57">
        <v>45055</v>
      </c>
      <c r="B144" t="s">
        <v>118</v>
      </c>
      <c r="C144" s="58" t="s">
        <v>160</v>
      </c>
      <c r="D144" s="59" t="s">
        <v>77</v>
      </c>
      <c r="E144" s="60"/>
      <c r="F144" s="61">
        <v>3500</v>
      </c>
      <c r="G144" s="61"/>
      <c r="H144" s="62" t="s">
        <v>269</v>
      </c>
      <c r="I144" s="63">
        <f t="shared" si="2"/>
        <v>0</v>
      </c>
      <c r="M144" s="64"/>
    </row>
    <row r="145" spans="1:13" ht="15" customHeight="1" x14ac:dyDescent="0.25">
      <c r="A145" s="57">
        <v>45055</v>
      </c>
      <c r="B145" t="s">
        <v>118</v>
      </c>
      <c r="C145" s="58" t="s">
        <v>157</v>
      </c>
      <c r="D145" s="65" t="s">
        <v>88</v>
      </c>
      <c r="E145" s="66" t="s">
        <v>188</v>
      </c>
      <c r="F145" s="67"/>
      <c r="G145" s="67">
        <v>3500</v>
      </c>
      <c r="H145" s="68" t="s">
        <v>269</v>
      </c>
      <c r="I145" s="63">
        <f t="shared" si="2"/>
        <v>0</v>
      </c>
      <c r="M145" s="64"/>
    </row>
    <row r="146" spans="1:13" ht="15" customHeight="1" x14ac:dyDescent="0.25">
      <c r="A146" s="57">
        <v>45056</v>
      </c>
      <c r="B146" t="s">
        <v>119</v>
      </c>
      <c r="C146" s="58" t="s">
        <v>160</v>
      </c>
      <c r="D146" s="59" t="s">
        <v>72</v>
      </c>
      <c r="E146" s="60"/>
      <c r="F146" s="61">
        <v>5500</v>
      </c>
      <c r="G146" s="61"/>
      <c r="H146" s="62" t="s">
        <v>270</v>
      </c>
      <c r="I146" s="63">
        <f t="shared" si="2"/>
        <v>0</v>
      </c>
      <c r="M146" s="64"/>
    </row>
    <row r="147" spans="1:13" ht="15" customHeight="1" x14ac:dyDescent="0.25">
      <c r="A147" s="57">
        <v>45056</v>
      </c>
      <c r="B147" t="s">
        <v>119</v>
      </c>
      <c r="C147" s="58" t="s">
        <v>157</v>
      </c>
      <c r="D147" s="65" t="s">
        <v>88</v>
      </c>
      <c r="E147" s="66" t="s">
        <v>188</v>
      </c>
      <c r="F147" s="67"/>
      <c r="G147" s="67">
        <v>5500</v>
      </c>
      <c r="H147" s="68" t="s">
        <v>270</v>
      </c>
      <c r="I147" s="63">
        <f t="shared" si="2"/>
        <v>0</v>
      </c>
      <c r="M147" s="64"/>
    </row>
    <row r="148" spans="1:13" ht="15" customHeight="1" x14ac:dyDescent="0.25">
      <c r="A148" s="57">
        <v>45057</v>
      </c>
      <c r="B148" t="s">
        <v>120</v>
      </c>
      <c r="C148" s="58" t="s">
        <v>160</v>
      </c>
      <c r="D148" s="59" t="s">
        <v>81</v>
      </c>
      <c r="E148" s="60"/>
      <c r="F148" s="61">
        <v>2000</v>
      </c>
      <c r="G148" s="61"/>
      <c r="H148" s="62" t="s">
        <v>271</v>
      </c>
      <c r="I148" s="63">
        <f t="shared" si="2"/>
        <v>0</v>
      </c>
      <c r="M148" s="64"/>
    </row>
    <row r="149" spans="1:13" ht="15" customHeight="1" x14ac:dyDescent="0.25">
      <c r="A149" s="57">
        <v>45057</v>
      </c>
      <c r="B149" t="s">
        <v>120</v>
      </c>
      <c r="C149" s="58" t="s">
        <v>157</v>
      </c>
      <c r="D149" s="65" t="s">
        <v>88</v>
      </c>
      <c r="E149" s="66" t="s">
        <v>188</v>
      </c>
      <c r="F149" s="67"/>
      <c r="G149" s="67">
        <v>2000</v>
      </c>
      <c r="H149" s="68" t="s">
        <v>271</v>
      </c>
      <c r="I149" s="63">
        <f t="shared" si="2"/>
        <v>0</v>
      </c>
      <c r="M149" s="64"/>
    </row>
    <row r="150" spans="1:13" ht="15" customHeight="1" x14ac:dyDescent="0.25">
      <c r="A150" s="57">
        <v>45058</v>
      </c>
      <c r="B150" t="s">
        <v>121</v>
      </c>
      <c r="C150" s="58" t="s">
        <v>160</v>
      </c>
      <c r="D150" s="59" t="s">
        <v>71</v>
      </c>
      <c r="E150" s="60"/>
      <c r="F150" s="61">
        <v>1500</v>
      </c>
      <c r="G150" s="61"/>
      <c r="H150" s="62" t="s">
        <v>272</v>
      </c>
      <c r="I150" s="63">
        <f t="shared" si="2"/>
        <v>0</v>
      </c>
      <c r="M150" s="64"/>
    </row>
    <row r="151" spans="1:13" ht="15" customHeight="1" x14ac:dyDescent="0.25">
      <c r="A151" s="57">
        <v>45058</v>
      </c>
      <c r="B151" t="s">
        <v>121</v>
      </c>
      <c r="C151" s="58" t="s">
        <v>157</v>
      </c>
      <c r="D151" s="65" t="s">
        <v>88</v>
      </c>
      <c r="E151" s="66" t="s">
        <v>188</v>
      </c>
      <c r="F151" s="67"/>
      <c r="G151" s="67">
        <v>1500</v>
      </c>
      <c r="H151" s="68" t="s">
        <v>272</v>
      </c>
      <c r="I151" s="63">
        <f t="shared" si="2"/>
        <v>0</v>
      </c>
      <c r="M151" s="64"/>
    </row>
    <row r="152" spans="1:13" ht="15" customHeight="1" x14ac:dyDescent="0.25">
      <c r="A152" s="57">
        <v>45059</v>
      </c>
      <c r="B152" t="s">
        <v>126</v>
      </c>
      <c r="C152" s="58" t="s">
        <v>160</v>
      </c>
      <c r="D152" s="59" t="s">
        <v>79</v>
      </c>
      <c r="E152" s="60"/>
      <c r="F152" s="61">
        <v>1500</v>
      </c>
      <c r="G152" s="61"/>
      <c r="H152" s="62" t="s">
        <v>273</v>
      </c>
      <c r="I152" s="63">
        <f t="shared" si="2"/>
        <v>0</v>
      </c>
      <c r="M152" s="64"/>
    </row>
    <row r="153" spans="1:13" ht="15" customHeight="1" x14ac:dyDescent="0.25">
      <c r="A153" s="57">
        <v>45059</v>
      </c>
      <c r="B153" t="s">
        <v>126</v>
      </c>
      <c r="C153" s="58" t="s">
        <v>157</v>
      </c>
      <c r="D153" s="65" t="s">
        <v>88</v>
      </c>
      <c r="E153" s="66" t="s">
        <v>188</v>
      </c>
      <c r="F153" s="67"/>
      <c r="G153" s="67">
        <v>1500</v>
      </c>
      <c r="H153" s="68" t="s">
        <v>273</v>
      </c>
      <c r="I153" s="63">
        <f t="shared" si="2"/>
        <v>0</v>
      </c>
      <c r="M153" s="64"/>
    </row>
    <row r="154" spans="1:13" ht="15" customHeight="1" x14ac:dyDescent="0.25">
      <c r="A154" s="57">
        <v>45060</v>
      </c>
      <c r="B154" t="s">
        <v>128</v>
      </c>
      <c r="C154" s="58" t="s">
        <v>160</v>
      </c>
      <c r="D154" s="59" t="s">
        <v>75</v>
      </c>
      <c r="E154" s="60"/>
      <c r="F154" s="61">
        <v>1500</v>
      </c>
      <c r="G154" s="61"/>
      <c r="H154" s="62" t="s">
        <v>274</v>
      </c>
      <c r="I154" s="63">
        <f t="shared" si="2"/>
        <v>0</v>
      </c>
      <c r="M154" s="64"/>
    </row>
    <row r="155" spans="1:13" ht="15" customHeight="1" x14ac:dyDescent="0.25">
      <c r="A155" s="57">
        <v>45060</v>
      </c>
      <c r="B155" t="s">
        <v>128</v>
      </c>
      <c r="C155" s="58" t="s">
        <v>157</v>
      </c>
      <c r="D155" s="65" t="s">
        <v>88</v>
      </c>
      <c r="E155" s="66" t="s">
        <v>188</v>
      </c>
      <c r="F155" s="67"/>
      <c r="G155" s="67">
        <v>1500</v>
      </c>
      <c r="H155" s="68" t="s">
        <v>274</v>
      </c>
      <c r="I155" s="63">
        <f t="shared" si="2"/>
        <v>0</v>
      </c>
    </row>
    <row r="156" spans="1:13" ht="15" customHeight="1" x14ac:dyDescent="0.25">
      <c r="A156" s="57">
        <v>45072</v>
      </c>
      <c r="B156" t="s">
        <v>204</v>
      </c>
      <c r="C156" s="58" t="s">
        <v>160</v>
      </c>
      <c r="D156" s="59" t="s">
        <v>67</v>
      </c>
      <c r="E156" s="60"/>
      <c r="F156" s="61">
        <v>15000</v>
      </c>
      <c r="G156" s="61"/>
      <c r="H156" s="62" t="s">
        <v>275</v>
      </c>
      <c r="I156" s="63">
        <f t="shared" si="2"/>
        <v>0</v>
      </c>
    </row>
    <row r="157" spans="1:13" ht="15" customHeight="1" x14ac:dyDescent="0.25">
      <c r="A157" s="57">
        <v>45072</v>
      </c>
      <c r="B157" t="s">
        <v>204</v>
      </c>
      <c r="C157" s="58" t="s">
        <v>157</v>
      </c>
      <c r="D157" s="65" t="s">
        <v>92</v>
      </c>
      <c r="E157" s="66"/>
      <c r="F157" s="67"/>
      <c r="G157" s="67">
        <v>15000</v>
      </c>
      <c r="H157" s="68" t="s">
        <v>275</v>
      </c>
      <c r="I157" s="63">
        <f t="shared" si="2"/>
        <v>0</v>
      </c>
    </row>
    <row r="158" spans="1:13" ht="15" customHeight="1" x14ac:dyDescent="0.25">
      <c r="A158" s="57">
        <v>45073</v>
      </c>
      <c r="B158" t="s">
        <v>207</v>
      </c>
      <c r="C158" s="58" t="s">
        <v>160</v>
      </c>
      <c r="D158" s="59" t="s">
        <v>73</v>
      </c>
      <c r="E158" s="60"/>
      <c r="F158" s="61">
        <v>1000</v>
      </c>
      <c r="G158" s="61"/>
      <c r="H158" s="62" t="s">
        <v>276</v>
      </c>
      <c r="I158" s="63">
        <f t="shared" si="2"/>
        <v>0</v>
      </c>
    </row>
    <row r="159" spans="1:13" ht="15" customHeight="1" x14ac:dyDescent="0.25">
      <c r="A159" s="57">
        <v>45073</v>
      </c>
      <c r="B159" t="s">
        <v>207</v>
      </c>
      <c r="C159" s="58" t="s">
        <v>157</v>
      </c>
      <c r="D159" s="65" t="s">
        <v>100</v>
      </c>
      <c r="E159" s="66"/>
      <c r="F159" s="67"/>
      <c r="G159" s="67">
        <v>1000</v>
      </c>
      <c r="H159" s="68" t="s">
        <v>276</v>
      </c>
      <c r="I159" s="63">
        <f t="shared" si="2"/>
        <v>0</v>
      </c>
    </row>
    <row r="160" spans="1:13" ht="15" customHeight="1" x14ac:dyDescent="0.25">
      <c r="A160" s="57">
        <v>45079</v>
      </c>
      <c r="B160" t="s">
        <v>181</v>
      </c>
      <c r="C160" s="58" t="s">
        <v>157</v>
      </c>
      <c r="D160" s="59" t="s">
        <v>90</v>
      </c>
      <c r="E160" s="60"/>
      <c r="F160" s="61">
        <v>27000</v>
      </c>
      <c r="G160" s="61"/>
      <c r="H160" s="62" t="s">
        <v>277</v>
      </c>
      <c r="I160" s="63">
        <f t="shared" si="2"/>
        <v>0</v>
      </c>
    </row>
    <row r="161" spans="1:9" ht="15" customHeight="1" x14ac:dyDescent="0.25">
      <c r="A161" s="57">
        <v>45079</v>
      </c>
      <c r="B161" t="s">
        <v>181</v>
      </c>
      <c r="C161" s="58" t="s">
        <v>60</v>
      </c>
      <c r="D161" s="65" t="s">
        <v>63</v>
      </c>
      <c r="E161" s="66"/>
      <c r="F161" s="67"/>
      <c r="G161" s="67">
        <v>27000</v>
      </c>
      <c r="H161" s="68" t="s">
        <v>277</v>
      </c>
      <c r="I161" s="63">
        <f t="shared" si="2"/>
        <v>0</v>
      </c>
    </row>
    <row r="162" spans="1:9" ht="15" customHeight="1" x14ac:dyDescent="0.25">
      <c r="A162" s="57">
        <v>45080</v>
      </c>
      <c r="B162" t="s">
        <v>184</v>
      </c>
      <c r="C162" s="58" t="s">
        <v>157</v>
      </c>
      <c r="D162" s="59" t="s">
        <v>92</v>
      </c>
      <c r="E162" s="60"/>
      <c r="F162" s="61">
        <v>20000</v>
      </c>
      <c r="G162" s="61"/>
      <c r="H162" s="62" t="s">
        <v>278</v>
      </c>
      <c r="I162" s="63">
        <f t="shared" si="2"/>
        <v>0</v>
      </c>
    </row>
    <row r="163" spans="1:9" ht="15" customHeight="1" x14ac:dyDescent="0.25">
      <c r="A163" s="57">
        <v>45080</v>
      </c>
      <c r="B163" t="s">
        <v>184</v>
      </c>
      <c r="C163" s="58" t="s">
        <v>158</v>
      </c>
      <c r="D163" s="65" t="s">
        <v>89</v>
      </c>
      <c r="E163" s="66"/>
      <c r="F163" s="67"/>
      <c r="G163" s="67">
        <v>20000</v>
      </c>
      <c r="H163" s="68" t="s">
        <v>278</v>
      </c>
      <c r="I163" s="63">
        <f t="shared" si="2"/>
        <v>0</v>
      </c>
    </row>
    <row r="164" spans="1:9" ht="15" customHeight="1" x14ac:dyDescent="0.25">
      <c r="A164" s="57">
        <v>45081</v>
      </c>
      <c r="B164" t="s">
        <v>122</v>
      </c>
      <c r="C164" s="58" t="s">
        <v>158</v>
      </c>
      <c r="D164" s="59" t="s">
        <v>89</v>
      </c>
      <c r="E164" s="60"/>
      <c r="F164" s="61">
        <v>0</v>
      </c>
      <c r="G164" s="61"/>
      <c r="H164" s="62" t="s">
        <v>279</v>
      </c>
      <c r="I164" s="63">
        <f t="shared" si="2"/>
        <v>0</v>
      </c>
    </row>
    <row r="165" spans="1:9" ht="15" customHeight="1" x14ac:dyDescent="0.25">
      <c r="A165" s="57">
        <v>45081</v>
      </c>
      <c r="B165" t="s">
        <v>122</v>
      </c>
      <c r="C165" s="58" t="s">
        <v>157</v>
      </c>
      <c r="D165" s="65" t="s">
        <v>88</v>
      </c>
      <c r="E165" s="66" t="s">
        <v>188</v>
      </c>
      <c r="F165" s="67"/>
      <c r="G165" s="67">
        <v>0</v>
      </c>
      <c r="H165" s="68" t="s">
        <v>279</v>
      </c>
      <c r="I165" s="63">
        <f t="shared" si="2"/>
        <v>0</v>
      </c>
    </row>
    <row r="166" spans="1:9" ht="15" customHeight="1" x14ac:dyDescent="0.25">
      <c r="A166" s="57">
        <v>45082</v>
      </c>
      <c r="B166" t="s">
        <v>115</v>
      </c>
      <c r="C166" s="58" t="s">
        <v>157</v>
      </c>
      <c r="D166" s="59" t="s">
        <v>88</v>
      </c>
      <c r="E166" s="60" t="s">
        <v>190</v>
      </c>
      <c r="F166" s="61">
        <v>12000</v>
      </c>
      <c r="G166" s="61"/>
      <c r="H166" s="62" t="s">
        <v>280</v>
      </c>
      <c r="I166" s="63">
        <f t="shared" si="2"/>
        <v>0</v>
      </c>
    </row>
    <row r="167" spans="1:9" ht="15" customHeight="1" x14ac:dyDescent="0.25">
      <c r="A167" s="57">
        <v>45082</v>
      </c>
      <c r="B167" t="s">
        <v>115</v>
      </c>
      <c r="C167" s="58" t="s">
        <v>60</v>
      </c>
      <c r="D167" s="65" t="s">
        <v>63</v>
      </c>
      <c r="E167" s="66"/>
      <c r="F167" s="67"/>
      <c r="G167" s="67">
        <v>12000</v>
      </c>
      <c r="H167" s="68" t="s">
        <v>280</v>
      </c>
      <c r="I167" s="63">
        <f t="shared" si="2"/>
        <v>0</v>
      </c>
    </row>
    <row r="168" spans="1:9" ht="15" customHeight="1" x14ac:dyDescent="0.25">
      <c r="A168" s="57">
        <v>45083</v>
      </c>
      <c r="B168" t="s">
        <v>113</v>
      </c>
      <c r="C168" s="58" t="s">
        <v>157</v>
      </c>
      <c r="D168" s="59" t="s">
        <v>88</v>
      </c>
      <c r="E168" s="60" t="s">
        <v>190</v>
      </c>
      <c r="F168" s="61">
        <v>7000</v>
      </c>
      <c r="G168" s="61"/>
      <c r="H168" s="62" t="s">
        <v>281</v>
      </c>
      <c r="I168" s="63">
        <f t="shared" si="2"/>
        <v>0</v>
      </c>
    </row>
    <row r="169" spans="1:9" ht="15" customHeight="1" x14ac:dyDescent="0.25">
      <c r="A169" s="57">
        <v>45083</v>
      </c>
      <c r="B169" t="s">
        <v>113</v>
      </c>
      <c r="C169" s="58" t="s">
        <v>60</v>
      </c>
      <c r="D169" s="65" t="s">
        <v>61</v>
      </c>
      <c r="E169" s="66"/>
      <c r="F169" s="67"/>
      <c r="G169" s="67">
        <v>7000</v>
      </c>
      <c r="H169" s="68" t="s">
        <v>281</v>
      </c>
      <c r="I169" s="63">
        <f t="shared" si="2"/>
        <v>0</v>
      </c>
    </row>
    <row r="170" spans="1:9" ht="15" customHeight="1" x14ac:dyDescent="0.25">
      <c r="A170" s="57">
        <v>45084</v>
      </c>
      <c r="B170" t="s">
        <v>194</v>
      </c>
      <c r="C170" s="58" t="s">
        <v>157</v>
      </c>
      <c r="D170" s="59" t="s">
        <v>90</v>
      </c>
      <c r="E170" s="60"/>
      <c r="F170" s="61">
        <v>11000</v>
      </c>
      <c r="G170" s="61"/>
      <c r="H170" s="62" t="s">
        <v>282</v>
      </c>
      <c r="I170" s="63">
        <f t="shared" si="2"/>
        <v>0</v>
      </c>
    </row>
    <row r="171" spans="1:9" ht="15" customHeight="1" x14ac:dyDescent="0.25">
      <c r="A171" s="57">
        <v>45084</v>
      </c>
      <c r="B171" t="s">
        <v>194</v>
      </c>
      <c r="C171" s="58" t="s">
        <v>60</v>
      </c>
      <c r="D171" s="65" t="s">
        <v>64</v>
      </c>
      <c r="E171" s="66"/>
      <c r="F171" s="67"/>
      <c r="G171" s="67">
        <v>11000</v>
      </c>
      <c r="H171" s="68" t="s">
        <v>282</v>
      </c>
      <c r="I171" s="63">
        <f t="shared" si="2"/>
        <v>0</v>
      </c>
    </row>
    <row r="172" spans="1:9" ht="15" customHeight="1" x14ac:dyDescent="0.25">
      <c r="A172" s="57">
        <v>45085</v>
      </c>
      <c r="B172" t="s">
        <v>114</v>
      </c>
      <c r="C172" s="58" t="s">
        <v>157</v>
      </c>
      <c r="D172" s="59" t="s">
        <v>88</v>
      </c>
      <c r="E172" s="60" t="s">
        <v>190</v>
      </c>
      <c r="F172" s="61">
        <v>27000</v>
      </c>
      <c r="G172" s="61"/>
      <c r="H172" s="62" t="s">
        <v>283</v>
      </c>
      <c r="I172" s="63">
        <f t="shared" si="2"/>
        <v>0</v>
      </c>
    </row>
    <row r="173" spans="1:9" ht="15" customHeight="1" x14ac:dyDescent="0.25">
      <c r="A173" s="57">
        <v>45085</v>
      </c>
      <c r="B173" t="s">
        <v>114</v>
      </c>
      <c r="C173" s="58" t="s">
        <v>157</v>
      </c>
      <c r="D173" s="65" t="s">
        <v>90</v>
      </c>
      <c r="E173" s="66"/>
      <c r="F173" s="67"/>
      <c r="G173" s="67">
        <v>27000</v>
      </c>
      <c r="H173" s="68" t="s">
        <v>283</v>
      </c>
      <c r="I173" s="63">
        <f t="shared" si="2"/>
        <v>0</v>
      </c>
    </row>
    <row r="174" spans="1:9" ht="15" customHeight="1" x14ac:dyDescent="0.25">
      <c r="A174" s="57">
        <v>45086</v>
      </c>
      <c r="B174" t="s">
        <v>118</v>
      </c>
      <c r="C174" s="58" t="s">
        <v>160</v>
      </c>
      <c r="D174" s="59" t="s">
        <v>77</v>
      </c>
      <c r="E174" s="60"/>
      <c r="F174" s="61">
        <v>4500</v>
      </c>
      <c r="G174" s="61"/>
      <c r="H174" s="62" t="s">
        <v>284</v>
      </c>
      <c r="I174" s="63">
        <f t="shared" si="2"/>
        <v>0</v>
      </c>
    </row>
    <row r="175" spans="1:9" ht="15" customHeight="1" x14ac:dyDescent="0.25">
      <c r="A175" s="57">
        <v>45086</v>
      </c>
      <c r="B175" t="s">
        <v>118</v>
      </c>
      <c r="C175" s="58" t="s">
        <v>157</v>
      </c>
      <c r="D175" s="65" t="s">
        <v>88</v>
      </c>
      <c r="E175" s="66" t="s">
        <v>188</v>
      </c>
      <c r="F175" s="67"/>
      <c r="G175" s="67">
        <v>4500</v>
      </c>
      <c r="H175" s="68" t="s">
        <v>284</v>
      </c>
      <c r="I175" s="63">
        <f t="shared" si="2"/>
        <v>0</v>
      </c>
    </row>
    <row r="176" spans="1:9" ht="15" customHeight="1" x14ac:dyDescent="0.25">
      <c r="A176" s="57">
        <v>45087</v>
      </c>
      <c r="B176" t="s">
        <v>119</v>
      </c>
      <c r="C176" s="58" t="s">
        <v>160</v>
      </c>
      <c r="D176" s="59" t="s">
        <v>72</v>
      </c>
      <c r="E176" s="60"/>
      <c r="F176" s="61">
        <v>4500</v>
      </c>
      <c r="G176" s="61"/>
      <c r="H176" s="62" t="s">
        <v>285</v>
      </c>
      <c r="I176" s="63">
        <f t="shared" si="2"/>
        <v>0</v>
      </c>
    </row>
    <row r="177" spans="1:9" ht="15" customHeight="1" x14ac:dyDescent="0.25">
      <c r="A177" s="57">
        <v>45087</v>
      </c>
      <c r="B177" t="s">
        <v>119</v>
      </c>
      <c r="C177" s="58" t="s">
        <v>157</v>
      </c>
      <c r="D177" s="65" t="s">
        <v>88</v>
      </c>
      <c r="E177" s="66" t="s">
        <v>188</v>
      </c>
      <c r="F177" s="67"/>
      <c r="G177" s="67">
        <v>4500</v>
      </c>
      <c r="H177" s="68" t="s">
        <v>285</v>
      </c>
      <c r="I177" s="63">
        <f t="shared" si="2"/>
        <v>0</v>
      </c>
    </row>
    <row r="178" spans="1:9" ht="15" customHeight="1" x14ac:dyDescent="0.25">
      <c r="A178" s="57">
        <v>45088</v>
      </c>
      <c r="B178" t="s">
        <v>120</v>
      </c>
      <c r="C178" s="58" t="s">
        <v>160</v>
      </c>
      <c r="D178" s="59" t="s">
        <v>81</v>
      </c>
      <c r="E178" s="60"/>
      <c r="F178" s="61">
        <v>2000</v>
      </c>
      <c r="G178" s="61"/>
      <c r="H178" s="62" t="s">
        <v>286</v>
      </c>
      <c r="I178" s="63">
        <f t="shared" si="2"/>
        <v>0</v>
      </c>
    </row>
    <row r="179" spans="1:9" ht="15" customHeight="1" x14ac:dyDescent="0.25">
      <c r="A179" s="57">
        <v>45088</v>
      </c>
      <c r="B179" t="s">
        <v>120</v>
      </c>
      <c r="C179" s="58" t="s">
        <v>157</v>
      </c>
      <c r="D179" s="65" t="s">
        <v>88</v>
      </c>
      <c r="E179" s="66" t="s">
        <v>188</v>
      </c>
      <c r="F179" s="67"/>
      <c r="G179" s="67">
        <v>2000</v>
      </c>
      <c r="H179" s="68" t="s">
        <v>286</v>
      </c>
      <c r="I179" s="63">
        <f t="shared" si="2"/>
        <v>0</v>
      </c>
    </row>
    <row r="180" spans="1:9" ht="15" customHeight="1" x14ac:dyDescent="0.25">
      <c r="A180" s="57">
        <v>45089</v>
      </c>
      <c r="B180" t="s">
        <v>121</v>
      </c>
      <c r="C180" s="58" t="s">
        <v>160</v>
      </c>
      <c r="D180" s="59" t="s">
        <v>71</v>
      </c>
      <c r="E180" s="60"/>
      <c r="F180" s="61">
        <v>1500</v>
      </c>
      <c r="G180" s="61"/>
      <c r="H180" s="62" t="s">
        <v>287</v>
      </c>
      <c r="I180" s="63">
        <f t="shared" si="2"/>
        <v>0</v>
      </c>
    </row>
    <row r="181" spans="1:9" ht="15" customHeight="1" x14ac:dyDescent="0.25">
      <c r="A181" s="57">
        <v>45089</v>
      </c>
      <c r="B181" t="s">
        <v>121</v>
      </c>
      <c r="C181" s="58" t="s">
        <v>157</v>
      </c>
      <c r="D181" s="65" t="s">
        <v>88</v>
      </c>
      <c r="E181" s="66" t="s">
        <v>188</v>
      </c>
      <c r="F181" s="67"/>
      <c r="G181" s="67">
        <v>1500</v>
      </c>
      <c r="H181" s="68" t="s">
        <v>287</v>
      </c>
      <c r="I181" s="63">
        <f t="shared" si="2"/>
        <v>0</v>
      </c>
    </row>
    <row r="182" spans="1:9" ht="15" customHeight="1" x14ac:dyDescent="0.25">
      <c r="A182" s="57">
        <v>45090</v>
      </c>
      <c r="B182" t="s">
        <v>127</v>
      </c>
      <c r="C182" s="58" t="s">
        <v>160</v>
      </c>
      <c r="D182" s="59" t="s">
        <v>78</v>
      </c>
      <c r="E182" s="60"/>
      <c r="F182" s="61">
        <v>500</v>
      </c>
      <c r="G182" s="61"/>
      <c r="H182" s="62" t="s">
        <v>288</v>
      </c>
      <c r="I182" s="63">
        <f t="shared" si="2"/>
        <v>0</v>
      </c>
    </row>
    <row r="183" spans="1:9" ht="15" customHeight="1" x14ac:dyDescent="0.25">
      <c r="A183" s="57">
        <v>45090</v>
      </c>
      <c r="B183" t="s">
        <v>127</v>
      </c>
      <c r="C183" s="58" t="s">
        <v>157</v>
      </c>
      <c r="D183" s="65" t="s">
        <v>88</v>
      </c>
      <c r="E183" s="66" t="s">
        <v>188</v>
      </c>
      <c r="F183" s="67"/>
      <c r="G183" s="67">
        <v>500</v>
      </c>
      <c r="H183" s="68" t="s">
        <v>288</v>
      </c>
      <c r="I183" s="63">
        <f t="shared" si="2"/>
        <v>0</v>
      </c>
    </row>
    <row r="184" spans="1:9" ht="15" customHeight="1" x14ac:dyDescent="0.25">
      <c r="A184" s="57">
        <v>45091</v>
      </c>
      <c r="B184" t="s">
        <v>128</v>
      </c>
      <c r="C184" s="58" t="s">
        <v>160</v>
      </c>
      <c r="D184" s="59" t="s">
        <v>75</v>
      </c>
      <c r="E184" s="60"/>
      <c r="F184" s="61">
        <v>1000</v>
      </c>
      <c r="G184" s="61"/>
      <c r="H184" s="62" t="s">
        <v>289</v>
      </c>
      <c r="I184" s="63">
        <f t="shared" si="2"/>
        <v>0</v>
      </c>
    </row>
    <row r="185" spans="1:9" ht="15" customHeight="1" x14ac:dyDescent="0.25">
      <c r="A185" s="57">
        <v>45091</v>
      </c>
      <c r="B185" t="s">
        <v>128</v>
      </c>
      <c r="C185" s="58" t="s">
        <v>157</v>
      </c>
      <c r="D185" s="65" t="s">
        <v>88</v>
      </c>
      <c r="E185" s="66" t="s">
        <v>188</v>
      </c>
      <c r="F185" s="67"/>
      <c r="G185" s="67">
        <v>1000</v>
      </c>
      <c r="H185" s="68" t="s">
        <v>289</v>
      </c>
      <c r="I185" s="63">
        <f t="shared" si="2"/>
        <v>0</v>
      </c>
    </row>
    <row r="186" spans="1:9" ht="15" customHeight="1" x14ac:dyDescent="0.25">
      <c r="A186" s="57">
        <v>45093</v>
      </c>
      <c r="B186" t="s">
        <v>136</v>
      </c>
      <c r="C186" s="58" t="s">
        <v>157</v>
      </c>
      <c r="D186" s="59" t="s">
        <v>98</v>
      </c>
      <c r="E186" s="60"/>
      <c r="F186" s="61">
        <v>2000</v>
      </c>
      <c r="G186" s="61"/>
      <c r="H186" s="62" t="s">
        <v>290</v>
      </c>
      <c r="I186" s="63">
        <f t="shared" si="2"/>
        <v>0</v>
      </c>
    </row>
    <row r="187" spans="1:9" ht="15" customHeight="1" x14ac:dyDescent="0.25">
      <c r="A187" s="57">
        <v>45093</v>
      </c>
      <c r="B187" t="s">
        <v>136</v>
      </c>
      <c r="C187" s="58" t="s">
        <v>157</v>
      </c>
      <c r="D187" s="65" t="s">
        <v>88</v>
      </c>
      <c r="E187" s="66" t="s">
        <v>242</v>
      </c>
      <c r="F187" s="67"/>
      <c r="G187" s="67">
        <v>2000</v>
      </c>
      <c r="H187" s="68" t="s">
        <v>290</v>
      </c>
      <c r="I187" s="63">
        <f t="shared" si="2"/>
        <v>0</v>
      </c>
    </row>
    <row r="188" spans="1:9" ht="15" customHeight="1" x14ac:dyDescent="0.25">
      <c r="A188" s="57">
        <v>45095</v>
      </c>
      <c r="B188" t="s">
        <v>133</v>
      </c>
      <c r="C188" s="58" t="s">
        <v>157</v>
      </c>
      <c r="D188" s="59" t="s">
        <v>88</v>
      </c>
      <c r="E188" s="60" t="s">
        <v>243</v>
      </c>
      <c r="F188" s="61">
        <v>1500</v>
      </c>
      <c r="G188" s="61"/>
      <c r="H188" s="62" t="s">
        <v>291</v>
      </c>
      <c r="I188" s="63">
        <f t="shared" si="2"/>
        <v>0</v>
      </c>
    </row>
    <row r="189" spans="1:9" ht="15" customHeight="1" x14ac:dyDescent="0.25">
      <c r="A189" s="57">
        <v>45095</v>
      </c>
      <c r="B189" t="s">
        <v>133</v>
      </c>
      <c r="C189" s="58" t="s">
        <v>60</v>
      </c>
      <c r="D189" s="65" t="s">
        <v>62</v>
      </c>
      <c r="E189" s="66"/>
      <c r="F189" s="67"/>
      <c r="G189" s="67">
        <v>1500</v>
      </c>
      <c r="H189" s="68" t="s">
        <v>291</v>
      </c>
      <c r="I189" s="63">
        <f t="shared" si="2"/>
        <v>0</v>
      </c>
    </row>
    <row r="190" spans="1:9" ht="15" customHeight="1" x14ac:dyDescent="0.25">
      <c r="A190" s="57">
        <v>45103</v>
      </c>
      <c r="B190" t="s">
        <v>204</v>
      </c>
      <c r="C190" s="58" t="s">
        <v>160</v>
      </c>
      <c r="D190" s="59" t="s">
        <v>67</v>
      </c>
      <c r="E190" s="60"/>
      <c r="F190" s="61">
        <v>15000</v>
      </c>
      <c r="G190" s="61"/>
      <c r="H190" s="62" t="s">
        <v>292</v>
      </c>
      <c r="I190" s="63">
        <f t="shared" si="2"/>
        <v>0</v>
      </c>
    </row>
    <row r="191" spans="1:9" ht="15" customHeight="1" x14ac:dyDescent="0.25">
      <c r="A191" s="57">
        <v>45103</v>
      </c>
      <c r="B191" t="s">
        <v>204</v>
      </c>
      <c r="C191" s="58" t="s">
        <v>157</v>
      </c>
      <c r="D191" s="65" t="s">
        <v>92</v>
      </c>
      <c r="E191" s="66"/>
      <c r="F191" s="67"/>
      <c r="G191" s="67">
        <v>15000</v>
      </c>
      <c r="H191" s="68" t="s">
        <v>292</v>
      </c>
      <c r="I191" s="63">
        <f t="shared" si="2"/>
        <v>0</v>
      </c>
    </row>
    <row r="192" spans="1:9" ht="15" customHeight="1" x14ac:dyDescent="0.25">
      <c r="A192" s="57">
        <v>45104</v>
      </c>
      <c r="B192" t="s">
        <v>207</v>
      </c>
      <c r="C192" s="58" t="s">
        <v>160</v>
      </c>
      <c r="D192" s="59" t="s">
        <v>73</v>
      </c>
      <c r="E192" s="60"/>
      <c r="F192" s="61">
        <v>900</v>
      </c>
      <c r="G192" s="61"/>
      <c r="H192" s="62" t="s">
        <v>293</v>
      </c>
      <c r="I192" s="63">
        <f t="shared" si="2"/>
        <v>0</v>
      </c>
    </row>
    <row r="193" spans="1:9" ht="15" customHeight="1" x14ac:dyDescent="0.25">
      <c r="A193" s="57">
        <v>45104</v>
      </c>
      <c r="B193" t="s">
        <v>207</v>
      </c>
      <c r="C193" s="58" t="s">
        <v>157</v>
      </c>
      <c r="D193" s="65" t="s">
        <v>100</v>
      </c>
      <c r="E193" s="66"/>
      <c r="F193" s="67"/>
      <c r="G193" s="67">
        <v>900</v>
      </c>
      <c r="H193" s="68" t="s">
        <v>293</v>
      </c>
      <c r="I193" s="63">
        <f t="shared" si="2"/>
        <v>0</v>
      </c>
    </row>
    <row r="194" spans="1:9" ht="15" customHeight="1" x14ac:dyDescent="0.25">
      <c r="A194" s="57">
        <v>45109</v>
      </c>
      <c r="B194" t="s">
        <v>181</v>
      </c>
      <c r="C194" s="58" t="s">
        <v>157</v>
      </c>
      <c r="D194" s="59" t="s">
        <v>90</v>
      </c>
      <c r="E194" s="60"/>
      <c r="F194" s="61">
        <v>31000</v>
      </c>
      <c r="G194" s="61"/>
      <c r="H194" s="62" t="s">
        <v>294</v>
      </c>
      <c r="I194" s="63">
        <f t="shared" ref="I194:I257" si="3">SUMIF($H:$H,H194,$F:$F)-SUMIF($H:$H,H194,$G:$G)</f>
        <v>0</v>
      </c>
    </row>
    <row r="195" spans="1:9" ht="15" customHeight="1" x14ac:dyDescent="0.25">
      <c r="A195" s="57">
        <v>45109</v>
      </c>
      <c r="B195" t="s">
        <v>181</v>
      </c>
      <c r="C195" s="58" t="s">
        <v>60</v>
      </c>
      <c r="D195" s="65" t="s">
        <v>63</v>
      </c>
      <c r="E195" s="66"/>
      <c r="F195" s="67"/>
      <c r="G195" s="67">
        <v>31000</v>
      </c>
      <c r="H195" s="68" t="s">
        <v>294</v>
      </c>
      <c r="I195" s="63">
        <f t="shared" si="3"/>
        <v>0</v>
      </c>
    </row>
    <row r="196" spans="1:9" ht="15" customHeight="1" x14ac:dyDescent="0.25">
      <c r="A196" s="57">
        <v>45110</v>
      </c>
      <c r="B196" t="s">
        <v>184</v>
      </c>
      <c r="C196" s="58" t="s">
        <v>157</v>
      </c>
      <c r="D196" s="59" t="s">
        <v>92</v>
      </c>
      <c r="E196" s="60"/>
      <c r="F196" s="61">
        <v>25000</v>
      </c>
      <c r="G196" s="61"/>
      <c r="H196" s="62" t="s">
        <v>295</v>
      </c>
      <c r="I196" s="63">
        <f t="shared" si="3"/>
        <v>0</v>
      </c>
    </row>
    <row r="197" spans="1:9" ht="15" customHeight="1" x14ac:dyDescent="0.25">
      <c r="A197" s="57">
        <v>45110</v>
      </c>
      <c r="B197" t="s">
        <v>184</v>
      </c>
      <c r="C197" s="58" t="s">
        <v>158</v>
      </c>
      <c r="D197" s="65" t="s">
        <v>89</v>
      </c>
      <c r="E197" s="66"/>
      <c r="F197" s="67"/>
      <c r="G197" s="67">
        <v>25000</v>
      </c>
      <c r="H197" s="68" t="s">
        <v>295</v>
      </c>
      <c r="I197" s="63">
        <f t="shared" si="3"/>
        <v>0</v>
      </c>
    </row>
    <row r="198" spans="1:9" ht="15" customHeight="1" x14ac:dyDescent="0.25">
      <c r="A198" s="57">
        <v>45111</v>
      </c>
      <c r="B198" t="s">
        <v>122</v>
      </c>
      <c r="C198" s="58" t="s">
        <v>158</v>
      </c>
      <c r="D198" s="59" t="s">
        <v>89</v>
      </c>
      <c r="E198" s="60"/>
      <c r="F198" s="61">
        <v>0</v>
      </c>
      <c r="G198" s="61"/>
      <c r="H198" s="62" t="s">
        <v>296</v>
      </c>
      <c r="I198" s="63">
        <f t="shared" si="3"/>
        <v>0</v>
      </c>
    </row>
    <row r="199" spans="1:9" ht="15" customHeight="1" x14ac:dyDescent="0.25">
      <c r="A199" s="57">
        <v>45111</v>
      </c>
      <c r="B199" t="s">
        <v>122</v>
      </c>
      <c r="C199" s="58" t="s">
        <v>157</v>
      </c>
      <c r="D199" s="65" t="s">
        <v>88</v>
      </c>
      <c r="E199" s="66" t="s">
        <v>188</v>
      </c>
      <c r="F199" s="67"/>
      <c r="G199" s="67">
        <v>0</v>
      </c>
      <c r="H199" s="68" t="s">
        <v>296</v>
      </c>
      <c r="I199" s="63">
        <f t="shared" si="3"/>
        <v>0</v>
      </c>
    </row>
    <row r="200" spans="1:9" ht="15" customHeight="1" x14ac:dyDescent="0.25">
      <c r="A200" s="57">
        <v>45112</v>
      </c>
      <c r="B200" t="s">
        <v>115</v>
      </c>
      <c r="C200" s="58" t="s">
        <v>157</v>
      </c>
      <c r="D200" s="59" t="s">
        <v>88</v>
      </c>
      <c r="E200" s="60" t="s">
        <v>190</v>
      </c>
      <c r="F200" s="61">
        <v>17000</v>
      </c>
      <c r="G200" s="61"/>
      <c r="H200" s="62" t="s">
        <v>297</v>
      </c>
      <c r="I200" s="63">
        <f t="shared" si="3"/>
        <v>0</v>
      </c>
    </row>
    <row r="201" spans="1:9" ht="15" customHeight="1" x14ac:dyDescent="0.25">
      <c r="A201" s="57">
        <v>45112</v>
      </c>
      <c r="B201" t="s">
        <v>115</v>
      </c>
      <c r="C201" s="58" t="s">
        <v>60</v>
      </c>
      <c r="D201" s="65" t="s">
        <v>63</v>
      </c>
      <c r="E201" s="66"/>
      <c r="F201" s="67"/>
      <c r="G201" s="67">
        <v>17000</v>
      </c>
      <c r="H201" s="68" t="s">
        <v>297</v>
      </c>
      <c r="I201" s="63">
        <f t="shared" si="3"/>
        <v>0</v>
      </c>
    </row>
    <row r="202" spans="1:9" ht="15" customHeight="1" x14ac:dyDescent="0.25">
      <c r="A202" s="57">
        <v>45113</v>
      </c>
      <c r="B202" t="s">
        <v>113</v>
      </c>
      <c r="C202" s="58" t="s">
        <v>157</v>
      </c>
      <c r="D202" s="59" t="s">
        <v>88</v>
      </c>
      <c r="E202" s="60" t="s">
        <v>190</v>
      </c>
      <c r="F202" s="61">
        <v>4000</v>
      </c>
      <c r="G202" s="61"/>
      <c r="H202" s="62" t="s">
        <v>298</v>
      </c>
      <c r="I202" s="63">
        <f t="shared" si="3"/>
        <v>0</v>
      </c>
    </row>
    <row r="203" spans="1:9" ht="15" customHeight="1" x14ac:dyDescent="0.25">
      <c r="A203" s="57">
        <v>45113</v>
      </c>
      <c r="B203" t="s">
        <v>113</v>
      </c>
      <c r="C203" s="58" t="s">
        <v>60</v>
      </c>
      <c r="D203" s="65" t="s">
        <v>61</v>
      </c>
      <c r="E203" s="66"/>
      <c r="F203" s="67"/>
      <c r="G203" s="67">
        <v>4000</v>
      </c>
      <c r="H203" s="68" t="s">
        <v>298</v>
      </c>
      <c r="I203" s="63">
        <f t="shared" si="3"/>
        <v>0</v>
      </c>
    </row>
    <row r="204" spans="1:9" ht="15" customHeight="1" x14ac:dyDescent="0.25">
      <c r="A204" s="57">
        <v>45114</v>
      </c>
      <c r="B204" t="s">
        <v>194</v>
      </c>
      <c r="C204" s="58" t="s">
        <v>157</v>
      </c>
      <c r="D204" s="59" t="s">
        <v>90</v>
      </c>
      <c r="E204" s="60"/>
      <c r="F204" s="61">
        <v>9000</v>
      </c>
      <c r="G204" s="61"/>
      <c r="H204" s="62" t="s">
        <v>299</v>
      </c>
      <c r="I204" s="63">
        <f t="shared" si="3"/>
        <v>0</v>
      </c>
    </row>
    <row r="205" spans="1:9" ht="15" customHeight="1" x14ac:dyDescent="0.25">
      <c r="A205" s="57">
        <v>45114</v>
      </c>
      <c r="B205" t="s">
        <v>194</v>
      </c>
      <c r="C205" s="58" t="s">
        <v>60</v>
      </c>
      <c r="D205" s="65" t="s">
        <v>64</v>
      </c>
      <c r="E205" s="66"/>
      <c r="F205" s="67"/>
      <c r="G205" s="67">
        <v>9000</v>
      </c>
      <c r="H205" s="68" t="s">
        <v>299</v>
      </c>
      <c r="I205" s="63">
        <f t="shared" si="3"/>
        <v>0</v>
      </c>
    </row>
    <row r="206" spans="1:9" ht="15" customHeight="1" x14ac:dyDescent="0.25">
      <c r="A206" s="57">
        <v>45115</v>
      </c>
      <c r="B206" t="s">
        <v>114</v>
      </c>
      <c r="C206" s="58" t="s">
        <v>157</v>
      </c>
      <c r="D206" s="59" t="s">
        <v>88</v>
      </c>
      <c r="E206" s="60" t="s">
        <v>190</v>
      </c>
      <c r="F206" s="61">
        <v>21000</v>
      </c>
      <c r="G206" s="61"/>
      <c r="H206" s="62" t="s">
        <v>300</v>
      </c>
      <c r="I206" s="63">
        <f t="shared" si="3"/>
        <v>0</v>
      </c>
    </row>
    <row r="207" spans="1:9" ht="15" customHeight="1" x14ac:dyDescent="0.25">
      <c r="A207" s="57">
        <v>45115</v>
      </c>
      <c r="B207" t="s">
        <v>114</v>
      </c>
      <c r="C207" s="58" t="s">
        <v>157</v>
      </c>
      <c r="D207" s="65" t="s">
        <v>90</v>
      </c>
      <c r="E207" s="66"/>
      <c r="F207" s="67"/>
      <c r="G207" s="67">
        <v>21000</v>
      </c>
      <c r="H207" s="68" t="s">
        <v>300</v>
      </c>
      <c r="I207" s="63">
        <f t="shared" si="3"/>
        <v>0</v>
      </c>
    </row>
    <row r="208" spans="1:9" ht="15" customHeight="1" x14ac:dyDescent="0.25">
      <c r="A208" s="57">
        <v>45116</v>
      </c>
      <c r="B208" t="s">
        <v>118</v>
      </c>
      <c r="C208" s="58" t="s">
        <v>160</v>
      </c>
      <c r="D208" s="59" t="s">
        <v>77</v>
      </c>
      <c r="E208" s="60"/>
      <c r="F208" s="61">
        <v>3500</v>
      </c>
      <c r="G208" s="61"/>
      <c r="H208" s="62" t="s">
        <v>301</v>
      </c>
      <c r="I208" s="63">
        <f t="shared" si="3"/>
        <v>0</v>
      </c>
    </row>
    <row r="209" spans="1:9" ht="15" customHeight="1" x14ac:dyDescent="0.25">
      <c r="A209" s="57">
        <v>45116</v>
      </c>
      <c r="B209" t="s">
        <v>118</v>
      </c>
      <c r="C209" s="58" t="s">
        <v>157</v>
      </c>
      <c r="D209" s="65" t="s">
        <v>88</v>
      </c>
      <c r="E209" s="66" t="s">
        <v>188</v>
      </c>
      <c r="F209" s="67"/>
      <c r="G209" s="67">
        <v>3500</v>
      </c>
      <c r="H209" s="68" t="s">
        <v>301</v>
      </c>
      <c r="I209" s="63">
        <f t="shared" si="3"/>
        <v>0</v>
      </c>
    </row>
    <row r="210" spans="1:9" ht="15" customHeight="1" x14ac:dyDescent="0.25">
      <c r="A210" s="57">
        <v>45117</v>
      </c>
      <c r="B210" t="s">
        <v>119</v>
      </c>
      <c r="C210" s="58" t="s">
        <v>160</v>
      </c>
      <c r="D210" s="59" t="s">
        <v>72</v>
      </c>
      <c r="E210" s="60"/>
      <c r="F210" s="61">
        <v>6500</v>
      </c>
      <c r="G210" s="61"/>
      <c r="H210" s="62" t="s">
        <v>302</v>
      </c>
      <c r="I210" s="63">
        <f t="shared" si="3"/>
        <v>0</v>
      </c>
    </row>
    <row r="211" spans="1:9" ht="15" customHeight="1" x14ac:dyDescent="0.25">
      <c r="A211" s="57">
        <v>45117</v>
      </c>
      <c r="B211" t="s">
        <v>119</v>
      </c>
      <c r="C211" s="58" t="s">
        <v>157</v>
      </c>
      <c r="D211" s="65" t="s">
        <v>88</v>
      </c>
      <c r="E211" s="66" t="s">
        <v>188</v>
      </c>
      <c r="F211" s="67"/>
      <c r="G211" s="67">
        <v>6500</v>
      </c>
      <c r="H211" s="68" t="s">
        <v>302</v>
      </c>
      <c r="I211" s="63">
        <f t="shared" si="3"/>
        <v>0</v>
      </c>
    </row>
    <row r="212" spans="1:9" ht="15" customHeight="1" x14ac:dyDescent="0.25">
      <c r="A212" s="57">
        <v>45118</v>
      </c>
      <c r="B212" t="s">
        <v>120</v>
      </c>
      <c r="C212" s="58" t="s">
        <v>160</v>
      </c>
      <c r="D212" s="59" t="s">
        <v>81</v>
      </c>
      <c r="E212" s="60"/>
      <c r="F212" s="61">
        <v>1500</v>
      </c>
      <c r="G212" s="61"/>
      <c r="H212" s="62" t="s">
        <v>303</v>
      </c>
      <c r="I212" s="63">
        <f t="shared" si="3"/>
        <v>0</v>
      </c>
    </row>
    <row r="213" spans="1:9" ht="15" customHeight="1" x14ac:dyDescent="0.25">
      <c r="A213" s="57">
        <v>45118</v>
      </c>
      <c r="B213" t="s">
        <v>120</v>
      </c>
      <c r="C213" s="58" t="s">
        <v>157</v>
      </c>
      <c r="D213" s="65" t="s">
        <v>88</v>
      </c>
      <c r="E213" s="66" t="s">
        <v>188</v>
      </c>
      <c r="F213" s="67"/>
      <c r="G213" s="67">
        <v>1500</v>
      </c>
      <c r="H213" s="68" t="s">
        <v>303</v>
      </c>
      <c r="I213" s="63">
        <f t="shared" si="3"/>
        <v>0</v>
      </c>
    </row>
    <row r="214" spans="1:9" ht="15" customHeight="1" x14ac:dyDescent="0.25">
      <c r="A214" s="57">
        <v>45119</v>
      </c>
      <c r="B214" t="s">
        <v>121</v>
      </c>
      <c r="C214" s="58" t="s">
        <v>160</v>
      </c>
      <c r="D214" s="59" t="s">
        <v>71</v>
      </c>
      <c r="E214" s="60"/>
      <c r="F214" s="61">
        <v>1500</v>
      </c>
      <c r="G214" s="61"/>
      <c r="H214" s="62" t="s">
        <v>304</v>
      </c>
      <c r="I214" s="63">
        <f t="shared" si="3"/>
        <v>0</v>
      </c>
    </row>
    <row r="215" spans="1:9" ht="15" customHeight="1" x14ac:dyDescent="0.25">
      <c r="A215" s="57">
        <v>45119</v>
      </c>
      <c r="B215" t="s">
        <v>121</v>
      </c>
      <c r="C215" s="58" t="s">
        <v>157</v>
      </c>
      <c r="D215" s="65" t="s">
        <v>88</v>
      </c>
      <c r="E215" s="66" t="s">
        <v>188</v>
      </c>
      <c r="F215" s="67"/>
      <c r="G215" s="67">
        <v>1500</v>
      </c>
      <c r="H215" s="68" t="s">
        <v>304</v>
      </c>
      <c r="I215" s="63">
        <f t="shared" si="3"/>
        <v>0</v>
      </c>
    </row>
    <row r="216" spans="1:9" ht="15" customHeight="1" x14ac:dyDescent="0.25">
      <c r="A216" s="57">
        <v>45120</v>
      </c>
      <c r="B216" t="s">
        <v>123</v>
      </c>
      <c r="C216" s="58" t="s">
        <v>160</v>
      </c>
      <c r="D216" s="59" t="s">
        <v>80</v>
      </c>
      <c r="E216" s="60"/>
      <c r="F216" s="61">
        <v>1000</v>
      </c>
      <c r="G216" s="61"/>
      <c r="H216" s="62" t="s">
        <v>305</v>
      </c>
      <c r="I216" s="63">
        <f t="shared" si="3"/>
        <v>0</v>
      </c>
    </row>
    <row r="217" spans="1:9" ht="15" customHeight="1" x14ac:dyDescent="0.25">
      <c r="A217" s="57">
        <v>45120</v>
      </c>
      <c r="B217" t="s">
        <v>123</v>
      </c>
      <c r="C217" s="58" t="s">
        <v>157</v>
      </c>
      <c r="D217" s="65" t="s">
        <v>88</v>
      </c>
      <c r="E217" s="66" t="s">
        <v>188</v>
      </c>
      <c r="F217" s="67"/>
      <c r="G217" s="67">
        <v>1000</v>
      </c>
      <c r="H217" s="68" t="s">
        <v>305</v>
      </c>
      <c r="I217" s="63">
        <f t="shared" si="3"/>
        <v>0</v>
      </c>
    </row>
    <row r="218" spans="1:9" ht="15" customHeight="1" x14ac:dyDescent="0.25">
      <c r="A218" s="57">
        <v>45121</v>
      </c>
      <c r="B218" t="s">
        <v>128</v>
      </c>
      <c r="C218" s="58" t="s">
        <v>160</v>
      </c>
      <c r="D218" s="59" t="s">
        <v>75</v>
      </c>
      <c r="E218" s="60"/>
      <c r="F218" s="61">
        <v>1500</v>
      </c>
      <c r="G218" s="61"/>
      <c r="H218" s="62" t="s">
        <v>306</v>
      </c>
      <c r="I218" s="63">
        <f t="shared" si="3"/>
        <v>0</v>
      </c>
    </row>
    <row r="219" spans="1:9" ht="15" customHeight="1" x14ac:dyDescent="0.25">
      <c r="A219" s="57">
        <v>45121</v>
      </c>
      <c r="B219" t="s">
        <v>128</v>
      </c>
      <c r="C219" s="58" t="s">
        <v>157</v>
      </c>
      <c r="D219" s="65" t="s">
        <v>88</v>
      </c>
      <c r="E219" s="66" t="s">
        <v>188</v>
      </c>
      <c r="F219" s="67"/>
      <c r="G219" s="67">
        <v>1500</v>
      </c>
      <c r="H219" s="68" t="s">
        <v>306</v>
      </c>
      <c r="I219" s="63">
        <f t="shared" si="3"/>
        <v>0</v>
      </c>
    </row>
    <row r="220" spans="1:9" ht="15" customHeight="1" x14ac:dyDescent="0.25">
      <c r="A220" s="57">
        <v>45133</v>
      </c>
      <c r="B220" t="s">
        <v>204</v>
      </c>
      <c r="C220" s="58" t="s">
        <v>160</v>
      </c>
      <c r="D220" s="59" t="s">
        <v>67</v>
      </c>
      <c r="E220" s="60"/>
      <c r="F220" s="61">
        <v>20000</v>
      </c>
      <c r="G220" s="61"/>
      <c r="H220" s="62" t="s">
        <v>307</v>
      </c>
      <c r="I220" s="63">
        <f t="shared" si="3"/>
        <v>0</v>
      </c>
    </row>
    <row r="221" spans="1:9" ht="15" customHeight="1" x14ac:dyDescent="0.25">
      <c r="A221" s="57">
        <v>45133</v>
      </c>
      <c r="B221" t="s">
        <v>204</v>
      </c>
      <c r="C221" s="58" t="s">
        <v>157</v>
      </c>
      <c r="D221" s="65" t="s">
        <v>92</v>
      </c>
      <c r="E221" s="66"/>
      <c r="F221" s="67"/>
      <c r="G221" s="67">
        <v>20000</v>
      </c>
      <c r="H221" s="68" t="s">
        <v>307</v>
      </c>
      <c r="I221" s="63">
        <f t="shared" si="3"/>
        <v>0</v>
      </c>
    </row>
    <row r="222" spans="1:9" ht="15" customHeight="1" x14ac:dyDescent="0.25">
      <c r="A222" s="57">
        <v>45134</v>
      </c>
      <c r="B222" t="s">
        <v>207</v>
      </c>
      <c r="C222" s="58" t="s">
        <v>160</v>
      </c>
      <c r="D222" s="59" t="s">
        <v>73</v>
      </c>
      <c r="E222" s="60"/>
      <c r="F222" s="61">
        <v>1200</v>
      </c>
      <c r="G222" s="61"/>
      <c r="H222" s="62" t="s">
        <v>308</v>
      </c>
      <c r="I222" s="63">
        <f t="shared" si="3"/>
        <v>0</v>
      </c>
    </row>
    <row r="223" spans="1:9" ht="15" customHeight="1" x14ac:dyDescent="0.25">
      <c r="A223" s="57">
        <v>45134</v>
      </c>
      <c r="B223" t="s">
        <v>207</v>
      </c>
      <c r="C223" s="58" t="s">
        <v>157</v>
      </c>
      <c r="D223" s="65" t="s">
        <v>100</v>
      </c>
      <c r="E223" s="66"/>
      <c r="F223" s="67"/>
      <c r="G223" s="67">
        <v>1200</v>
      </c>
      <c r="H223" s="68" t="s">
        <v>308</v>
      </c>
      <c r="I223" s="63">
        <f t="shared" si="3"/>
        <v>0</v>
      </c>
    </row>
    <row r="224" spans="1:9" ht="15" customHeight="1" x14ac:dyDescent="0.25">
      <c r="A224" s="57">
        <v>45140</v>
      </c>
      <c r="B224" t="s">
        <v>181</v>
      </c>
      <c r="C224" s="58" t="s">
        <v>157</v>
      </c>
      <c r="D224" s="59" t="s">
        <v>90</v>
      </c>
      <c r="E224" s="60"/>
      <c r="F224" s="61">
        <v>18000</v>
      </c>
      <c r="G224" s="61"/>
      <c r="H224" s="62" t="s">
        <v>309</v>
      </c>
      <c r="I224" s="63">
        <f t="shared" si="3"/>
        <v>0</v>
      </c>
    </row>
    <row r="225" spans="1:9" ht="15" customHeight="1" x14ac:dyDescent="0.25">
      <c r="A225" s="57">
        <v>45140</v>
      </c>
      <c r="B225" t="s">
        <v>181</v>
      </c>
      <c r="C225" s="58" t="s">
        <v>60</v>
      </c>
      <c r="D225" s="65" t="s">
        <v>63</v>
      </c>
      <c r="E225" s="66"/>
      <c r="F225" s="67"/>
      <c r="G225" s="67">
        <v>18000</v>
      </c>
      <c r="H225" s="68" t="s">
        <v>309</v>
      </c>
      <c r="I225" s="63">
        <f t="shared" si="3"/>
        <v>0</v>
      </c>
    </row>
    <row r="226" spans="1:9" ht="15" customHeight="1" x14ac:dyDescent="0.25">
      <c r="A226" s="57">
        <v>45141</v>
      </c>
      <c r="B226" t="s">
        <v>184</v>
      </c>
      <c r="C226" s="58" t="s">
        <v>157</v>
      </c>
      <c r="D226" s="59" t="s">
        <v>92</v>
      </c>
      <c r="E226" s="60"/>
      <c r="F226" s="61">
        <v>14000</v>
      </c>
      <c r="G226" s="61"/>
      <c r="H226" s="62" t="s">
        <v>310</v>
      </c>
      <c r="I226" s="63">
        <f t="shared" si="3"/>
        <v>0</v>
      </c>
    </row>
    <row r="227" spans="1:9" ht="15" customHeight="1" x14ac:dyDescent="0.25">
      <c r="A227" s="57">
        <v>45141</v>
      </c>
      <c r="B227" t="s">
        <v>184</v>
      </c>
      <c r="C227" s="58" t="s">
        <v>158</v>
      </c>
      <c r="D227" s="65" t="s">
        <v>89</v>
      </c>
      <c r="E227" s="66"/>
      <c r="F227" s="67"/>
      <c r="G227" s="67">
        <v>14000</v>
      </c>
      <c r="H227" s="68" t="s">
        <v>310</v>
      </c>
      <c r="I227" s="63">
        <f t="shared" si="3"/>
        <v>0</v>
      </c>
    </row>
    <row r="228" spans="1:9" ht="15" customHeight="1" x14ac:dyDescent="0.25">
      <c r="A228" s="57">
        <v>45142</v>
      </c>
      <c r="B228" t="s">
        <v>122</v>
      </c>
      <c r="C228" s="58" t="s">
        <v>158</v>
      </c>
      <c r="D228" s="59" t="s">
        <v>89</v>
      </c>
      <c r="E228" s="60"/>
      <c r="F228" s="61">
        <v>0</v>
      </c>
      <c r="G228" s="61"/>
      <c r="H228" s="62" t="s">
        <v>311</v>
      </c>
      <c r="I228" s="63">
        <f t="shared" si="3"/>
        <v>0</v>
      </c>
    </row>
    <row r="229" spans="1:9" ht="15" customHeight="1" x14ac:dyDescent="0.25">
      <c r="A229" s="57">
        <v>45142</v>
      </c>
      <c r="B229" t="s">
        <v>122</v>
      </c>
      <c r="C229" s="58" t="s">
        <v>157</v>
      </c>
      <c r="D229" s="65" t="s">
        <v>88</v>
      </c>
      <c r="E229" s="66" t="s">
        <v>188</v>
      </c>
      <c r="F229" s="67"/>
      <c r="G229" s="67">
        <v>0</v>
      </c>
      <c r="H229" s="68" t="s">
        <v>311</v>
      </c>
      <c r="I229" s="63">
        <f t="shared" si="3"/>
        <v>0</v>
      </c>
    </row>
    <row r="230" spans="1:9" ht="15" customHeight="1" x14ac:dyDescent="0.25">
      <c r="A230" s="57">
        <v>45143</v>
      </c>
      <c r="B230" t="s">
        <v>115</v>
      </c>
      <c r="C230" s="58" t="s">
        <v>157</v>
      </c>
      <c r="D230" s="59" t="s">
        <v>88</v>
      </c>
      <c r="E230" s="60" t="s">
        <v>190</v>
      </c>
      <c r="F230" s="61">
        <v>13000</v>
      </c>
      <c r="G230" s="61"/>
      <c r="H230" s="62" t="s">
        <v>312</v>
      </c>
      <c r="I230" s="63">
        <f t="shared" si="3"/>
        <v>0</v>
      </c>
    </row>
    <row r="231" spans="1:9" ht="15" customHeight="1" x14ac:dyDescent="0.25">
      <c r="A231" s="57">
        <v>45143</v>
      </c>
      <c r="B231" t="s">
        <v>115</v>
      </c>
      <c r="C231" s="58" t="s">
        <v>60</v>
      </c>
      <c r="D231" s="65" t="s">
        <v>63</v>
      </c>
      <c r="E231" s="66"/>
      <c r="F231" s="67"/>
      <c r="G231" s="67">
        <v>13000</v>
      </c>
      <c r="H231" s="68" t="s">
        <v>312</v>
      </c>
      <c r="I231" s="63">
        <f t="shared" si="3"/>
        <v>0</v>
      </c>
    </row>
    <row r="232" spans="1:9" ht="15" customHeight="1" x14ac:dyDescent="0.25">
      <c r="A232" s="57">
        <v>45144</v>
      </c>
      <c r="B232" t="s">
        <v>113</v>
      </c>
      <c r="C232" s="58" t="s">
        <v>157</v>
      </c>
      <c r="D232" s="59" t="s">
        <v>88</v>
      </c>
      <c r="E232" s="60" t="s">
        <v>190</v>
      </c>
      <c r="F232" s="61">
        <v>8000</v>
      </c>
      <c r="G232" s="61"/>
      <c r="H232" s="62" t="s">
        <v>313</v>
      </c>
      <c r="I232" s="63">
        <f t="shared" si="3"/>
        <v>0</v>
      </c>
    </row>
    <row r="233" spans="1:9" ht="15" customHeight="1" x14ac:dyDescent="0.25">
      <c r="A233" s="57">
        <v>45144</v>
      </c>
      <c r="B233" t="s">
        <v>113</v>
      </c>
      <c r="C233" s="58" t="s">
        <v>60</v>
      </c>
      <c r="D233" s="65" t="s">
        <v>61</v>
      </c>
      <c r="E233" s="66"/>
      <c r="F233" s="67"/>
      <c r="G233" s="67">
        <v>8000</v>
      </c>
      <c r="H233" s="68" t="s">
        <v>313</v>
      </c>
      <c r="I233" s="63">
        <f t="shared" si="3"/>
        <v>0</v>
      </c>
    </row>
    <row r="234" spans="1:9" ht="15" customHeight="1" x14ac:dyDescent="0.25">
      <c r="A234" s="57">
        <v>45145</v>
      </c>
      <c r="B234" t="s">
        <v>194</v>
      </c>
      <c r="C234" s="58" t="s">
        <v>157</v>
      </c>
      <c r="D234" s="59" t="s">
        <v>90</v>
      </c>
      <c r="E234" s="60"/>
      <c r="F234" s="61">
        <v>8000</v>
      </c>
      <c r="G234" s="61"/>
      <c r="H234" s="62" t="s">
        <v>314</v>
      </c>
      <c r="I234" s="63">
        <f t="shared" si="3"/>
        <v>0</v>
      </c>
    </row>
    <row r="235" spans="1:9" ht="15" customHeight="1" x14ac:dyDescent="0.25">
      <c r="A235" s="57">
        <v>45145</v>
      </c>
      <c r="B235" t="s">
        <v>194</v>
      </c>
      <c r="C235" s="58" t="s">
        <v>60</v>
      </c>
      <c r="D235" s="65" t="s">
        <v>64</v>
      </c>
      <c r="E235" s="66"/>
      <c r="F235" s="67"/>
      <c r="G235" s="67">
        <v>8000</v>
      </c>
      <c r="H235" s="68" t="s">
        <v>314</v>
      </c>
      <c r="I235" s="63">
        <f t="shared" si="3"/>
        <v>0</v>
      </c>
    </row>
    <row r="236" spans="1:9" ht="15" customHeight="1" x14ac:dyDescent="0.25">
      <c r="A236" s="57">
        <v>45146</v>
      </c>
      <c r="B236" t="s">
        <v>114</v>
      </c>
      <c r="C236" s="58" t="s">
        <v>157</v>
      </c>
      <c r="D236" s="59" t="s">
        <v>88</v>
      </c>
      <c r="E236" s="60" t="s">
        <v>190</v>
      </c>
      <c r="F236" s="61">
        <v>18000</v>
      </c>
      <c r="G236" s="61"/>
      <c r="H236" s="62" t="s">
        <v>315</v>
      </c>
      <c r="I236" s="63">
        <f t="shared" si="3"/>
        <v>0</v>
      </c>
    </row>
    <row r="237" spans="1:9" ht="15" customHeight="1" x14ac:dyDescent="0.25">
      <c r="A237" s="57">
        <v>45146</v>
      </c>
      <c r="B237" t="s">
        <v>114</v>
      </c>
      <c r="C237" s="58" t="s">
        <v>157</v>
      </c>
      <c r="D237" s="65" t="s">
        <v>90</v>
      </c>
      <c r="E237" s="66"/>
      <c r="F237" s="67"/>
      <c r="G237" s="67">
        <v>18000</v>
      </c>
      <c r="H237" s="68" t="s">
        <v>315</v>
      </c>
      <c r="I237" s="63">
        <f t="shared" si="3"/>
        <v>0</v>
      </c>
    </row>
    <row r="238" spans="1:9" ht="15" customHeight="1" x14ac:dyDescent="0.25">
      <c r="A238" s="57">
        <v>45147</v>
      </c>
      <c r="B238" t="s">
        <v>118</v>
      </c>
      <c r="C238" s="58" t="s">
        <v>160</v>
      </c>
      <c r="D238" s="59" t="s">
        <v>77</v>
      </c>
      <c r="E238" s="60"/>
      <c r="F238" s="61">
        <v>4500</v>
      </c>
      <c r="G238" s="61"/>
      <c r="H238" s="62" t="s">
        <v>316</v>
      </c>
      <c r="I238" s="63">
        <f t="shared" si="3"/>
        <v>0</v>
      </c>
    </row>
    <row r="239" spans="1:9" ht="15" customHeight="1" x14ac:dyDescent="0.25">
      <c r="A239" s="57">
        <v>45147</v>
      </c>
      <c r="B239" t="s">
        <v>118</v>
      </c>
      <c r="C239" s="58" t="s">
        <v>157</v>
      </c>
      <c r="D239" s="65" t="s">
        <v>88</v>
      </c>
      <c r="E239" s="66" t="s">
        <v>188</v>
      </c>
      <c r="F239" s="67"/>
      <c r="G239" s="67">
        <v>4500</v>
      </c>
      <c r="H239" s="68" t="s">
        <v>316</v>
      </c>
      <c r="I239" s="63">
        <f t="shared" si="3"/>
        <v>0</v>
      </c>
    </row>
    <row r="240" spans="1:9" ht="15" customHeight="1" x14ac:dyDescent="0.25">
      <c r="A240" s="57">
        <v>45148</v>
      </c>
      <c r="B240" t="s">
        <v>119</v>
      </c>
      <c r="C240" s="58" t="s">
        <v>160</v>
      </c>
      <c r="D240" s="59" t="s">
        <v>72</v>
      </c>
      <c r="E240" s="60"/>
      <c r="F240" s="61">
        <v>5500</v>
      </c>
      <c r="G240" s="61"/>
      <c r="H240" s="62" t="s">
        <v>317</v>
      </c>
      <c r="I240" s="63">
        <f t="shared" si="3"/>
        <v>0</v>
      </c>
    </row>
    <row r="241" spans="1:9" ht="15" customHeight="1" x14ac:dyDescent="0.25">
      <c r="A241" s="57">
        <v>45148</v>
      </c>
      <c r="B241" t="s">
        <v>119</v>
      </c>
      <c r="C241" s="58" t="s">
        <v>157</v>
      </c>
      <c r="D241" s="65" t="s">
        <v>88</v>
      </c>
      <c r="E241" s="66" t="s">
        <v>188</v>
      </c>
      <c r="F241" s="67"/>
      <c r="G241" s="67">
        <v>5500</v>
      </c>
      <c r="H241" s="68" t="s">
        <v>317</v>
      </c>
      <c r="I241" s="63">
        <f t="shared" si="3"/>
        <v>0</v>
      </c>
    </row>
    <row r="242" spans="1:9" ht="15" customHeight="1" x14ac:dyDescent="0.25">
      <c r="A242" s="57">
        <v>45149</v>
      </c>
      <c r="B242" t="s">
        <v>120</v>
      </c>
      <c r="C242" s="58" t="s">
        <v>160</v>
      </c>
      <c r="D242" s="59" t="s">
        <v>81</v>
      </c>
      <c r="E242" s="60"/>
      <c r="F242" s="61">
        <v>2000</v>
      </c>
      <c r="G242" s="61"/>
      <c r="H242" s="62" t="s">
        <v>318</v>
      </c>
      <c r="I242" s="63">
        <f t="shared" si="3"/>
        <v>0</v>
      </c>
    </row>
    <row r="243" spans="1:9" ht="15" customHeight="1" x14ac:dyDescent="0.25">
      <c r="A243" s="57">
        <v>45149</v>
      </c>
      <c r="B243" t="s">
        <v>120</v>
      </c>
      <c r="C243" s="58" t="s">
        <v>157</v>
      </c>
      <c r="D243" s="65" t="s">
        <v>88</v>
      </c>
      <c r="E243" s="66" t="s">
        <v>188</v>
      </c>
      <c r="F243" s="67"/>
      <c r="G243" s="67">
        <v>2000</v>
      </c>
      <c r="H243" s="68" t="s">
        <v>318</v>
      </c>
      <c r="I243" s="63">
        <f t="shared" si="3"/>
        <v>0</v>
      </c>
    </row>
    <row r="244" spans="1:9" ht="15" customHeight="1" x14ac:dyDescent="0.25">
      <c r="A244" s="57">
        <v>45150</v>
      </c>
      <c r="B244" t="s">
        <v>121</v>
      </c>
      <c r="C244" s="58" t="s">
        <v>160</v>
      </c>
      <c r="D244" s="59" t="s">
        <v>71</v>
      </c>
      <c r="E244" s="60"/>
      <c r="F244" s="61">
        <v>500</v>
      </c>
      <c r="G244" s="61"/>
      <c r="H244" s="62" t="s">
        <v>319</v>
      </c>
      <c r="I244" s="63">
        <f t="shared" si="3"/>
        <v>0</v>
      </c>
    </row>
    <row r="245" spans="1:9" ht="15" customHeight="1" x14ac:dyDescent="0.25">
      <c r="A245" s="57">
        <v>45150</v>
      </c>
      <c r="B245" t="s">
        <v>121</v>
      </c>
      <c r="C245" s="58" t="s">
        <v>157</v>
      </c>
      <c r="D245" s="65" t="s">
        <v>88</v>
      </c>
      <c r="E245" s="66" t="s">
        <v>188</v>
      </c>
      <c r="F245" s="67"/>
      <c r="G245" s="67">
        <v>500</v>
      </c>
      <c r="H245" s="68" t="s">
        <v>319</v>
      </c>
      <c r="I245" s="63">
        <f t="shared" si="3"/>
        <v>0</v>
      </c>
    </row>
    <row r="246" spans="1:9" ht="15" customHeight="1" x14ac:dyDescent="0.25">
      <c r="A246" s="57">
        <v>45151</v>
      </c>
      <c r="B246" t="s">
        <v>124</v>
      </c>
      <c r="C246" s="58" t="s">
        <v>160</v>
      </c>
      <c r="D246" s="59" t="s">
        <v>74</v>
      </c>
      <c r="E246" s="60"/>
      <c r="F246" s="61">
        <v>1500</v>
      </c>
      <c r="G246" s="61"/>
      <c r="H246" s="62" t="s">
        <v>320</v>
      </c>
      <c r="I246" s="63">
        <f t="shared" si="3"/>
        <v>0</v>
      </c>
    </row>
    <row r="247" spans="1:9" ht="15" customHeight="1" x14ac:dyDescent="0.25">
      <c r="A247" s="57">
        <v>45151</v>
      </c>
      <c r="B247" t="s">
        <v>124</v>
      </c>
      <c r="C247" s="58" t="s">
        <v>157</v>
      </c>
      <c r="D247" s="65" t="s">
        <v>88</v>
      </c>
      <c r="E247" s="66" t="s">
        <v>188</v>
      </c>
      <c r="F247" s="67"/>
      <c r="G247" s="67">
        <v>1500</v>
      </c>
      <c r="H247" s="68" t="s">
        <v>320</v>
      </c>
      <c r="I247" s="63">
        <f t="shared" si="3"/>
        <v>0</v>
      </c>
    </row>
    <row r="248" spans="1:9" ht="15" customHeight="1" x14ac:dyDescent="0.25">
      <c r="A248" s="57">
        <v>45152</v>
      </c>
      <c r="B248" t="s">
        <v>128</v>
      </c>
      <c r="C248" s="58" t="s">
        <v>160</v>
      </c>
      <c r="D248" s="59" t="s">
        <v>75</v>
      </c>
      <c r="E248" s="60"/>
      <c r="F248" s="61">
        <v>1000</v>
      </c>
      <c r="G248" s="61"/>
      <c r="H248" s="62" t="s">
        <v>321</v>
      </c>
      <c r="I248" s="63">
        <f t="shared" si="3"/>
        <v>0</v>
      </c>
    </row>
    <row r="249" spans="1:9" ht="15" customHeight="1" x14ac:dyDescent="0.25">
      <c r="A249" s="57">
        <v>45152</v>
      </c>
      <c r="B249" t="s">
        <v>128</v>
      </c>
      <c r="C249" s="58" t="s">
        <v>157</v>
      </c>
      <c r="D249" s="65" t="s">
        <v>88</v>
      </c>
      <c r="E249" s="66" t="s">
        <v>188</v>
      </c>
      <c r="F249" s="67"/>
      <c r="G249" s="67">
        <v>1000</v>
      </c>
      <c r="H249" s="68" t="s">
        <v>321</v>
      </c>
      <c r="I249" s="63">
        <f t="shared" si="3"/>
        <v>0</v>
      </c>
    </row>
    <row r="250" spans="1:9" ht="15" customHeight="1" x14ac:dyDescent="0.25">
      <c r="A250" s="57">
        <v>45164</v>
      </c>
      <c r="B250" t="s">
        <v>204</v>
      </c>
      <c r="C250" s="58" t="s">
        <v>160</v>
      </c>
      <c r="D250" s="59" t="s">
        <v>67</v>
      </c>
      <c r="E250" s="60"/>
      <c r="F250" s="61">
        <v>12000</v>
      </c>
      <c r="G250" s="61"/>
      <c r="H250" s="62" t="s">
        <v>322</v>
      </c>
      <c r="I250" s="63">
        <f t="shared" si="3"/>
        <v>0</v>
      </c>
    </row>
    <row r="251" spans="1:9" ht="15" customHeight="1" x14ac:dyDescent="0.25">
      <c r="A251" s="57">
        <v>45164</v>
      </c>
      <c r="B251" t="s">
        <v>204</v>
      </c>
      <c r="C251" s="58" t="s">
        <v>157</v>
      </c>
      <c r="D251" s="65" t="s">
        <v>92</v>
      </c>
      <c r="E251" s="66"/>
      <c r="F251" s="67"/>
      <c r="G251" s="67">
        <v>12000</v>
      </c>
      <c r="H251" s="68" t="s">
        <v>322</v>
      </c>
      <c r="I251" s="63">
        <f t="shared" si="3"/>
        <v>0</v>
      </c>
    </row>
    <row r="252" spans="1:9" ht="15" customHeight="1" x14ac:dyDescent="0.25">
      <c r="A252" s="57">
        <v>45165</v>
      </c>
      <c r="B252" t="s">
        <v>207</v>
      </c>
      <c r="C252" s="58" t="s">
        <v>160</v>
      </c>
      <c r="D252" s="59" t="s">
        <v>73</v>
      </c>
      <c r="E252" s="60"/>
      <c r="F252" s="61">
        <v>1000</v>
      </c>
      <c r="G252" s="61"/>
      <c r="H252" s="62" t="s">
        <v>323</v>
      </c>
      <c r="I252" s="63">
        <f t="shared" si="3"/>
        <v>0</v>
      </c>
    </row>
    <row r="253" spans="1:9" ht="15" customHeight="1" x14ac:dyDescent="0.25">
      <c r="A253" s="57">
        <v>45165</v>
      </c>
      <c r="B253" t="s">
        <v>207</v>
      </c>
      <c r="C253" s="58" t="s">
        <v>157</v>
      </c>
      <c r="D253" s="65" t="s">
        <v>100</v>
      </c>
      <c r="E253" s="66"/>
      <c r="F253" s="67"/>
      <c r="G253" s="67">
        <v>1000</v>
      </c>
      <c r="H253" s="68" t="s">
        <v>323</v>
      </c>
      <c r="I253" s="63">
        <f t="shared" si="3"/>
        <v>0</v>
      </c>
    </row>
    <row r="254" spans="1:9" ht="15" customHeight="1" x14ac:dyDescent="0.25">
      <c r="A254" s="57">
        <v>45171</v>
      </c>
      <c r="B254" t="s">
        <v>181</v>
      </c>
      <c r="C254" s="58" t="s">
        <v>157</v>
      </c>
      <c r="D254" s="59" t="s">
        <v>90</v>
      </c>
      <c r="E254" s="60"/>
      <c r="F254" s="61">
        <v>22000</v>
      </c>
      <c r="G254" s="61"/>
      <c r="H254" s="62" t="s">
        <v>324</v>
      </c>
      <c r="I254" s="63">
        <f t="shared" si="3"/>
        <v>0</v>
      </c>
    </row>
    <row r="255" spans="1:9" ht="15" customHeight="1" x14ac:dyDescent="0.25">
      <c r="A255" s="57">
        <v>45171</v>
      </c>
      <c r="B255" t="s">
        <v>181</v>
      </c>
      <c r="C255" s="58" t="s">
        <v>60</v>
      </c>
      <c r="D255" s="65" t="s">
        <v>63</v>
      </c>
      <c r="E255" s="66"/>
      <c r="F255" s="67"/>
      <c r="G255" s="67">
        <v>22000</v>
      </c>
      <c r="H255" s="68" t="s">
        <v>324</v>
      </c>
      <c r="I255" s="63">
        <f t="shared" si="3"/>
        <v>0</v>
      </c>
    </row>
    <row r="256" spans="1:9" ht="15" customHeight="1" x14ac:dyDescent="0.25">
      <c r="A256" s="57">
        <v>45172</v>
      </c>
      <c r="B256" t="s">
        <v>184</v>
      </c>
      <c r="C256" s="58" t="s">
        <v>157</v>
      </c>
      <c r="D256" s="59" t="s">
        <v>92</v>
      </c>
      <c r="E256" s="60"/>
      <c r="F256" s="61">
        <v>20000</v>
      </c>
      <c r="G256" s="61"/>
      <c r="H256" s="62" t="s">
        <v>325</v>
      </c>
      <c r="I256" s="63">
        <f t="shared" si="3"/>
        <v>0</v>
      </c>
    </row>
    <row r="257" spans="1:9" ht="15" customHeight="1" x14ac:dyDescent="0.25">
      <c r="A257" s="57">
        <v>45172</v>
      </c>
      <c r="B257" t="s">
        <v>184</v>
      </c>
      <c r="C257" s="58" t="s">
        <v>158</v>
      </c>
      <c r="D257" s="65" t="s">
        <v>89</v>
      </c>
      <c r="E257" s="66"/>
      <c r="F257" s="67"/>
      <c r="G257" s="67">
        <v>20000</v>
      </c>
      <c r="H257" s="68" t="s">
        <v>325</v>
      </c>
      <c r="I257" s="63">
        <f t="shared" si="3"/>
        <v>0</v>
      </c>
    </row>
    <row r="258" spans="1:9" ht="15" customHeight="1" x14ac:dyDescent="0.25">
      <c r="A258" s="57">
        <v>45173</v>
      </c>
      <c r="B258" t="s">
        <v>122</v>
      </c>
      <c r="C258" s="58" t="s">
        <v>158</v>
      </c>
      <c r="D258" s="59" t="s">
        <v>89</v>
      </c>
      <c r="E258" s="60"/>
      <c r="F258" s="61">
        <v>0</v>
      </c>
      <c r="G258" s="61"/>
      <c r="H258" s="62" t="s">
        <v>326</v>
      </c>
      <c r="I258" s="63">
        <f t="shared" ref="I258:I321" si="4">SUMIF($H:$H,H258,$F:$F)-SUMIF($H:$H,H258,$G:$G)</f>
        <v>0</v>
      </c>
    </row>
    <row r="259" spans="1:9" ht="15" customHeight="1" x14ac:dyDescent="0.25">
      <c r="A259" s="57">
        <v>45173</v>
      </c>
      <c r="B259" t="s">
        <v>122</v>
      </c>
      <c r="C259" s="58" t="s">
        <v>157</v>
      </c>
      <c r="D259" s="65" t="s">
        <v>88</v>
      </c>
      <c r="E259" s="66" t="s">
        <v>188</v>
      </c>
      <c r="F259" s="67"/>
      <c r="G259" s="67">
        <v>0</v>
      </c>
      <c r="H259" s="68" t="s">
        <v>326</v>
      </c>
      <c r="I259" s="63">
        <f t="shared" si="4"/>
        <v>0</v>
      </c>
    </row>
    <row r="260" spans="1:9" ht="15" customHeight="1" x14ac:dyDescent="0.25">
      <c r="A260" s="57">
        <v>45174</v>
      </c>
      <c r="B260" t="s">
        <v>115</v>
      </c>
      <c r="C260" s="58" t="s">
        <v>157</v>
      </c>
      <c r="D260" s="59" t="s">
        <v>88</v>
      </c>
      <c r="E260" s="60" t="s">
        <v>190</v>
      </c>
      <c r="F260" s="61">
        <v>19000</v>
      </c>
      <c r="G260" s="61"/>
      <c r="H260" s="62" t="s">
        <v>327</v>
      </c>
      <c r="I260" s="63">
        <f t="shared" si="4"/>
        <v>0</v>
      </c>
    </row>
    <row r="261" spans="1:9" ht="15" customHeight="1" x14ac:dyDescent="0.25">
      <c r="A261" s="57">
        <v>45174</v>
      </c>
      <c r="B261" t="s">
        <v>115</v>
      </c>
      <c r="C261" s="58" t="s">
        <v>60</v>
      </c>
      <c r="D261" s="65" t="s">
        <v>63</v>
      </c>
      <c r="E261" s="66"/>
      <c r="F261" s="67"/>
      <c r="G261" s="67">
        <v>19000</v>
      </c>
      <c r="H261" s="68" t="s">
        <v>327</v>
      </c>
      <c r="I261" s="63">
        <f t="shared" si="4"/>
        <v>0</v>
      </c>
    </row>
    <row r="262" spans="1:9" ht="15" customHeight="1" x14ac:dyDescent="0.25">
      <c r="A262" s="57">
        <v>45175</v>
      </c>
      <c r="B262" t="s">
        <v>113</v>
      </c>
      <c r="C262" s="58" t="s">
        <v>157</v>
      </c>
      <c r="D262" s="59" t="s">
        <v>88</v>
      </c>
      <c r="E262" s="60" t="s">
        <v>190</v>
      </c>
      <c r="F262" s="61">
        <v>5500</v>
      </c>
      <c r="G262" s="61"/>
      <c r="H262" s="62" t="s">
        <v>328</v>
      </c>
      <c r="I262" s="63">
        <f t="shared" si="4"/>
        <v>0</v>
      </c>
    </row>
    <row r="263" spans="1:9" ht="15" customHeight="1" x14ac:dyDescent="0.25">
      <c r="A263" s="57">
        <v>45175</v>
      </c>
      <c r="B263" t="s">
        <v>113</v>
      </c>
      <c r="C263" s="58" t="s">
        <v>60</v>
      </c>
      <c r="D263" s="65" t="s">
        <v>61</v>
      </c>
      <c r="E263" s="66"/>
      <c r="F263" s="67"/>
      <c r="G263" s="67">
        <v>5500</v>
      </c>
      <c r="H263" s="68" t="s">
        <v>328</v>
      </c>
      <c r="I263" s="63">
        <f t="shared" si="4"/>
        <v>0</v>
      </c>
    </row>
    <row r="264" spans="1:9" ht="15" customHeight="1" x14ac:dyDescent="0.25">
      <c r="A264" s="57">
        <v>45176</v>
      </c>
      <c r="B264" t="s">
        <v>194</v>
      </c>
      <c r="C264" s="58" t="s">
        <v>157</v>
      </c>
      <c r="D264" s="59" t="s">
        <v>90</v>
      </c>
      <c r="E264" s="60"/>
      <c r="F264" s="61">
        <v>7000</v>
      </c>
      <c r="G264" s="61"/>
      <c r="H264" s="62" t="s">
        <v>329</v>
      </c>
      <c r="I264" s="63">
        <f t="shared" si="4"/>
        <v>0</v>
      </c>
    </row>
    <row r="265" spans="1:9" ht="15" customHeight="1" x14ac:dyDescent="0.25">
      <c r="A265" s="57">
        <v>45176</v>
      </c>
      <c r="B265" t="s">
        <v>194</v>
      </c>
      <c r="C265" s="58" t="s">
        <v>60</v>
      </c>
      <c r="D265" s="65" t="s">
        <v>64</v>
      </c>
      <c r="E265" s="66"/>
      <c r="F265" s="67"/>
      <c r="G265" s="67">
        <v>7000</v>
      </c>
      <c r="H265" s="68" t="s">
        <v>329</v>
      </c>
      <c r="I265" s="63">
        <f t="shared" si="4"/>
        <v>0</v>
      </c>
    </row>
    <row r="266" spans="1:9" ht="15" customHeight="1" x14ac:dyDescent="0.25">
      <c r="A266" s="57">
        <v>45177</v>
      </c>
      <c r="B266" t="s">
        <v>114</v>
      </c>
      <c r="C266" s="58" t="s">
        <v>157</v>
      </c>
      <c r="D266" s="59" t="s">
        <v>88</v>
      </c>
      <c r="E266" s="60" t="s">
        <v>190</v>
      </c>
      <c r="F266" s="61">
        <v>19000</v>
      </c>
      <c r="G266" s="61"/>
      <c r="H266" s="62" t="s">
        <v>330</v>
      </c>
      <c r="I266" s="63">
        <f t="shared" si="4"/>
        <v>0</v>
      </c>
    </row>
    <row r="267" spans="1:9" ht="15" customHeight="1" x14ac:dyDescent="0.25">
      <c r="A267" s="57">
        <v>45177</v>
      </c>
      <c r="B267" t="s">
        <v>114</v>
      </c>
      <c r="C267" s="58" t="s">
        <v>157</v>
      </c>
      <c r="D267" s="65" t="s">
        <v>90</v>
      </c>
      <c r="E267" s="66"/>
      <c r="F267" s="67"/>
      <c r="G267" s="67">
        <v>19000</v>
      </c>
      <c r="H267" s="68" t="s">
        <v>330</v>
      </c>
      <c r="I267" s="63">
        <f t="shared" si="4"/>
        <v>0</v>
      </c>
    </row>
    <row r="268" spans="1:9" ht="15" customHeight="1" x14ac:dyDescent="0.25">
      <c r="A268" s="57">
        <v>45178</v>
      </c>
      <c r="B268" t="s">
        <v>118</v>
      </c>
      <c r="C268" s="58" t="s">
        <v>160</v>
      </c>
      <c r="D268" s="59" t="s">
        <v>77</v>
      </c>
      <c r="E268" s="60"/>
      <c r="F268" s="61">
        <v>4500</v>
      </c>
      <c r="G268" s="61"/>
      <c r="H268" s="62" t="s">
        <v>331</v>
      </c>
      <c r="I268" s="63">
        <f t="shared" si="4"/>
        <v>0</v>
      </c>
    </row>
    <row r="269" spans="1:9" ht="15" customHeight="1" x14ac:dyDescent="0.25">
      <c r="A269" s="57">
        <v>45178</v>
      </c>
      <c r="B269" t="s">
        <v>118</v>
      </c>
      <c r="C269" s="58" t="s">
        <v>157</v>
      </c>
      <c r="D269" s="65" t="s">
        <v>88</v>
      </c>
      <c r="E269" s="66" t="s">
        <v>188</v>
      </c>
      <c r="F269" s="67"/>
      <c r="G269" s="67">
        <v>4500</v>
      </c>
      <c r="H269" s="68" t="s">
        <v>331</v>
      </c>
      <c r="I269" s="63">
        <f t="shared" si="4"/>
        <v>0</v>
      </c>
    </row>
    <row r="270" spans="1:9" ht="15" customHeight="1" x14ac:dyDescent="0.25">
      <c r="A270" s="57">
        <v>45179</v>
      </c>
      <c r="B270" t="s">
        <v>119</v>
      </c>
      <c r="C270" s="58" t="s">
        <v>160</v>
      </c>
      <c r="D270" s="59" t="s">
        <v>72</v>
      </c>
      <c r="E270" s="60"/>
      <c r="F270" s="61">
        <v>4500</v>
      </c>
      <c r="G270" s="61"/>
      <c r="H270" s="62" t="s">
        <v>332</v>
      </c>
      <c r="I270" s="63">
        <f t="shared" si="4"/>
        <v>0</v>
      </c>
    </row>
    <row r="271" spans="1:9" ht="15" customHeight="1" x14ac:dyDescent="0.25">
      <c r="A271" s="57">
        <v>45179</v>
      </c>
      <c r="B271" t="s">
        <v>119</v>
      </c>
      <c r="C271" s="58" t="s">
        <v>157</v>
      </c>
      <c r="D271" s="65" t="s">
        <v>88</v>
      </c>
      <c r="E271" s="66" t="s">
        <v>188</v>
      </c>
      <c r="F271" s="67"/>
      <c r="G271" s="67">
        <v>4500</v>
      </c>
      <c r="H271" s="68" t="s">
        <v>332</v>
      </c>
      <c r="I271" s="63">
        <f t="shared" si="4"/>
        <v>0</v>
      </c>
    </row>
    <row r="272" spans="1:9" ht="15" customHeight="1" x14ac:dyDescent="0.25">
      <c r="A272" s="57">
        <v>45180</v>
      </c>
      <c r="B272" t="s">
        <v>120</v>
      </c>
      <c r="C272" s="58" t="s">
        <v>160</v>
      </c>
      <c r="D272" s="59" t="s">
        <v>81</v>
      </c>
      <c r="E272" s="60"/>
      <c r="F272" s="61">
        <v>2500</v>
      </c>
      <c r="G272" s="61"/>
      <c r="H272" s="62" t="s">
        <v>333</v>
      </c>
      <c r="I272" s="63">
        <f t="shared" si="4"/>
        <v>0</v>
      </c>
    </row>
    <row r="273" spans="1:9" ht="15" customHeight="1" x14ac:dyDescent="0.25">
      <c r="A273" s="57">
        <v>45180</v>
      </c>
      <c r="B273" t="s">
        <v>120</v>
      </c>
      <c r="C273" s="58" t="s">
        <v>157</v>
      </c>
      <c r="D273" s="65" t="s">
        <v>88</v>
      </c>
      <c r="E273" s="66" t="s">
        <v>188</v>
      </c>
      <c r="F273" s="67"/>
      <c r="G273" s="67">
        <v>2500</v>
      </c>
      <c r="H273" s="68" t="s">
        <v>333</v>
      </c>
      <c r="I273" s="63">
        <f t="shared" si="4"/>
        <v>0</v>
      </c>
    </row>
    <row r="274" spans="1:9" ht="15" customHeight="1" x14ac:dyDescent="0.25">
      <c r="A274" s="57">
        <v>45181</v>
      </c>
      <c r="B274" t="s">
        <v>121</v>
      </c>
      <c r="C274" s="58" t="s">
        <v>160</v>
      </c>
      <c r="D274" s="59" t="s">
        <v>71</v>
      </c>
      <c r="E274" s="60"/>
      <c r="F274" s="61">
        <v>2000</v>
      </c>
      <c r="G274" s="61"/>
      <c r="H274" s="62" t="s">
        <v>334</v>
      </c>
      <c r="I274" s="63">
        <f t="shared" si="4"/>
        <v>0</v>
      </c>
    </row>
    <row r="275" spans="1:9" ht="15" customHeight="1" x14ac:dyDescent="0.25">
      <c r="A275" s="57">
        <v>45181</v>
      </c>
      <c r="B275" t="s">
        <v>121</v>
      </c>
      <c r="C275" s="58" t="s">
        <v>157</v>
      </c>
      <c r="D275" s="65" t="s">
        <v>88</v>
      </c>
      <c r="E275" s="66" t="s">
        <v>188</v>
      </c>
      <c r="F275" s="67"/>
      <c r="G275" s="67">
        <v>2000</v>
      </c>
      <c r="H275" s="68" t="s">
        <v>334</v>
      </c>
      <c r="I275" s="63">
        <f t="shared" si="4"/>
        <v>0</v>
      </c>
    </row>
    <row r="276" spans="1:9" ht="15" customHeight="1" x14ac:dyDescent="0.25">
      <c r="A276" s="57">
        <v>45182</v>
      </c>
      <c r="B276" t="s">
        <v>125</v>
      </c>
      <c r="C276" s="58" t="s">
        <v>160</v>
      </c>
      <c r="D276" s="59" t="s">
        <v>76</v>
      </c>
      <c r="E276" s="60"/>
      <c r="F276" s="61">
        <v>800</v>
      </c>
      <c r="G276" s="61"/>
      <c r="H276" s="62" t="s">
        <v>335</v>
      </c>
      <c r="I276" s="63">
        <f t="shared" si="4"/>
        <v>0</v>
      </c>
    </row>
    <row r="277" spans="1:9" ht="15" customHeight="1" x14ac:dyDescent="0.25">
      <c r="A277" s="57">
        <v>45182</v>
      </c>
      <c r="B277" t="s">
        <v>125</v>
      </c>
      <c r="C277" s="58" t="s">
        <v>157</v>
      </c>
      <c r="D277" s="65" t="s">
        <v>88</v>
      </c>
      <c r="E277" s="66" t="s">
        <v>188</v>
      </c>
      <c r="F277" s="67"/>
      <c r="G277" s="67">
        <v>800</v>
      </c>
      <c r="H277" s="68" t="s">
        <v>335</v>
      </c>
      <c r="I277" s="63">
        <f t="shared" si="4"/>
        <v>0</v>
      </c>
    </row>
    <row r="278" spans="1:9" ht="15" customHeight="1" x14ac:dyDescent="0.25">
      <c r="A278" s="57">
        <v>45183</v>
      </c>
      <c r="B278" t="s">
        <v>128</v>
      </c>
      <c r="C278" s="58" t="s">
        <v>160</v>
      </c>
      <c r="D278" s="59" t="s">
        <v>75</v>
      </c>
      <c r="E278" s="60"/>
      <c r="F278" s="61">
        <v>1500</v>
      </c>
      <c r="G278" s="61"/>
      <c r="H278" s="62" t="s">
        <v>336</v>
      </c>
      <c r="I278" s="63">
        <f t="shared" si="4"/>
        <v>0</v>
      </c>
    </row>
    <row r="279" spans="1:9" ht="15" customHeight="1" x14ac:dyDescent="0.25">
      <c r="A279" s="57">
        <v>45183</v>
      </c>
      <c r="B279" t="s">
        <v>128</v>
      </c>
      <c r="C279" s="58" t="s">
        <v>157</v>
      </c>
      <c r="D279" s="65" t="s">
        <v>88</v>
      </c>
      <c r="E279" s="66" t="s">
        <v>188</v>
      </c>
      <c r="F279" s="67"/>
      <c r="G279" s="67">
        <v>1500</v>
      </c>
      <c r="H279" s="68" t="s">
        <v>336</v>
      </c>
      <c r="I279" s="63">
        <f t="shared" si="4"/>
        <v>0</v>
      </c>
    </row>
    <row r="280" spans="1:9" ht="15" customHeight="1" x14ac:dyDescent="0.25">
      <c r="A280" s="57">
        <v>45185</v>
      </c>
      <c r="B280" t="s">
        <v>136</v>
      </c>
      <c r="C280" s="58" t="s">
        <v>157</v>
      </c>
      <c r="D280" s="59" t="s">
        <v>98</v>
      </c>
      <c r="E280" s="60"/>
      <c r="F280" s="61">
        <v>3500</v>
      </c>
      <c r="G280" s="61"/>
      <c r="H280" s="62" t="s">
        <v>337</v>
      </c>
      <c r="I280" s="63">
        <f t="shared" si="4"/>
        <v>0</v>
      </c>
    </row>
    <row r="281" spans="1:9" ht="15" customHeight="1" x14ac:dyDescent="0.25">
      <c r="A281" s="57">
        <v>45185</v>
      </c>
      <c r="B281" t="s">
        <v>136</v>
      </c>
      <c r="C281" s="58" t="s">
        <v>157</v>
      </c>
      <c r="D281" s="65" t="s">
        <v>88</v>
      </c>
      <c r="E281" s="66" t="s">
        <v>242</v>
      </c>
      <c r="F281" s="67"/>
      <c r="G281" s="67">
        <v>3500</v>
      </c>
      <c r="H281" s="68" t="s">
        <v>337</v>
      </c>
      <c r="I281" s="63">
        <f t="shared" si="4"/>
        <v>0</v>
      </c>
    </row>
    <row r="282" spans="1:9" ht="15" customHeight="1" x14ac:dyDescent="0.25">
      <c r="A282" s="57">
        <v>45187</v>
      </c>
      <c r="B282" t="s">
        <v>133</v>
      </c>
      <c r="C282" s="58" t="s">
        <v>157</v>
      </c>
      <c r="D282" s="59" t="s">
        <v>88</v>
      </c>
      <c r="E282" s="60" t="s">
        <v>243</v>
      </c>
      <c r="F282" s="61">
        <v>2500</v>
      </c>
      <c r="G282" s="61"/>
      <c r="H282" s="62" t="s">
        <v>338</v>
      </c>
      <c r="I282" s="63">
        <f t="shared" si="4"/>
        <v>0</v>
      </c>
    </row>
    <row r="283" spans="1:9" ht="15" customHeight="1" x14ac:dyDescent="0.25">
      <c r="A283" s="57">
        <v>45187</v>
      </c>
      <c r="B283" t="s">
        <v>133</v>
      </c>
      <c r="C283" s="58" t="s">
        <v>60</v>
      </c>
      <c r="D283" s="65" t="s">
        <v>62</v>
      </c>
      <c r="E283" s="66"/>
      <c r="F283" s="67"/>
      <c r="G283" s="67">
        <v>2500</v>
      </c>
      <c r="H283" s="68" t="s">
        <v>338</v>
      </c>
      <c r="I283" s="63">
        <f t="shared" si="4"/>
        <v>0</v>
      </c>
    </row>
    <row r="284" spans="1:9" ht="15" customHeight="1" x14ac:dyDescent="0.25">
      <c r="A284" s="57">
        <v>45195</v>
      </c>
      <c r="B284" t="s">
        <v>204</v>
      </c>
      <c r="C284" s="58" t="s">
        <v>160</v>
      </c>
      <c r="D284" s="59" t="s">
        <v>67</v>
      </c>
      <c r="E284" s="60"/>
      <c r="F284" s="61">
        <v>18000</v>
      </c>
      <c r="G284" s="61"/>
      <c r="H284" s="62" t="s">
        <v>339</v>
      </c>
      <c r="I284" s="63">
        <f t="shared" si="4"/>
        <v>0</v>
      </c>
    </row>
    <row r="285" spans="1:9" ht="15" customHeight="1" x14ac:dyDescent="0.25">
      <c r="A285" s="57">
        <v>45195</v>
      </c>
      <c r="B285" t="s">
        <v>204</v>
      </c>
      <c r="C285" s="58" t="s">
        <v>157</v>
      </c>
      <c r="D285" s="65" t="s">
        <v>92</v>
      </c>
      <c r="E285" s="66"/>
      <c r="F285" s="67"/>
      <c r="G285" s="67">
        <v>18000</v>
      </c>
      <c r="H285" s="68" t="s">
        <v>339</v>
      </c>
      <c r="I285" s="63">
        <f t="shared" si="4"/>
        <v>0</v>
      </c>
    </row>
    <row r="286" spans="1:9" ht="15" customHeight="1" x14ac:dyDescent="0.25">
      <c r="A286" s="57">
        <v>45196</v>
      </c>
      <c r="B286" t="s">
        <v>207</v>
      </c>
      <c r="C286" s="58" t="s">
        <v>160</v>
      </c>
      <c r="D286" s="59" t="s">
        <v>73</v>
      </c>
      <c r="E286" s="60"/>
      <c r="F286" s="61">
        <v>700</v>
      </c>
      <c r="G286" s="61"/>
      <c r="H286" s="62" t="s">
        <v>340</v>
      </c>
      <c r="I286" s="63">
        <f t="shared" si="4"/>
        <v>0</v>
      </c>
    </row>
    <row r="287" spans="1:9" ht="15" customHeight="1" x14ac:dyDescent="0.25">
      <c r="A287" s="57">
        <v>45196</v>
      </c>
      <c r="B287" t="s">
        <v>207</v>
      </c>
      <c r="C287" s="58" t="s">
        <v>157</v>
      </c>
      <c r="D287" s="65" t="s">
        <v>100</v>
      </c>
      <c r="E287" s="66"/>
      <c r="F287" s="67"/>
      <c r="G287" s="67">
        <v>700</v>
      </c>
      <c r="H287" s="68" t="s">
        <v>340</v>
      </c>
      <c r="I287" s="63">
        <f t="shared" si="4"/>
        <v>0</v>
      </c>
    </row>
    <row r="288" spans="1:9" ht="15" customHeight="1" x14ac:dyDescent="0.25">
      <c r="A288" s="57">
        <v>45201</v>
      </c>
      <c r="B288" t="s">
        <v>181</v>
      </c>
      <c r="C288" s="58" t="s">
        <v>157</v>
      </c>
      <c r="D288" s="59" t="s">
        <v>90</v>
      </c>
      <c r="E288" s="60"/>
      <c r="F288" s="61">
        <v>28000</v>
      </c>
      <c r="G288" s="61"/>
      <c r="H288" s="62" t="s">
        <v>341</v>
      </c>
      <c r="I288" s="63">
        <f t="shared" si="4"/>
        <v>0</v>
      </c>
    </row>
    <row r="289" spans="1:9" ht="15" customHeight="1" x14ac:dyDescent="0.25">
      <c r="A289" s="57">
        <v>45201</v>
      </c>
      <c r="B289" t="s">
        <v>181</v>
      </c>
      <c r="C289" s="58" t="s">
        <v>60</v>
      </c>
      <c r="D289" s="65" t="s">
        <v>63</v>
      </c>
      <c r="E289" s="66"/>
      <c r="F289" s="67"/>
      <c r="G289" s="67">
        <v>28000</v>
      </c>
      <c r="H289" s="68" t="s">
        <v>341</v>
      </c>
      <c r="I289" s="63">
        <f t="shared" si="4"/>
        <v>0</v>
      </c>
    </row>
    <row r="290" spans="1:9" ht="15" customHeight="1" x14ac:dyDescent="0.25">
      <c r="A290" s="57">
        <v>45202</v>
      </c>
      <c r="B290" t="s">
        <v>184</v>
      </c>
      <c r="C290" s="58" t="s">
        <v>157</v>
      </c>
      <c r="D290" s="59" t="s">
        <v>92</v>
      </c>
      <c r="E290" s="60"/>
      <c r="F290" s="61">
        <v>20000</v>
      </c>
      <c r="G290" s="61"/>
      <c r="H290" s="62" t="s">
        <v>342</v>
      </c>
      <c r="I290" s="63">
        <f t="shared" si="4"/>
        <v>0</v>
      </c>
    </row>
    <row r="291" spans="1:9" ht="15" customHeight="1" x14ac:dyDescent="0.25">
      <c r="A291" s="57">
        <v>45202</v>
      </c>
      <c r="B291" t="s">
        <v>184</v>
      </c>
      <c r="C291" s="58" t="s">
        <v>158</v>
      </c>
      <c r="D291" s="65" t="s">
        <v>89</v>
      </c>
      <c r="E291" s="66"/>
      <c r="F291" s="67"/>
      <c r="G291" s="67">
        <v>20000</v>
      </c>
      <c r="H291" s="68" t="s">
        <v>342</v>
      </c>
      <c r="I291" s="63">
        <f t="shared" si="4"/>
        <v>0</v>
      </c>
    </row>
    <row r="292" spans="1:9" ht="15" customHeight="1" x14ac:dyDescent="0.25">
      <c r="A292" s="57">
        <v>45203</v>
      </c>
      <c r="B292" t="s">
        <v>122</v>
      </c>
      <c r="C292" s="58" t="s">
        <v>158</v>
      </c>
      <c r="D292" s="59" t="s">
        <v>89</v>
      </c>
      <c r="E292" s="60"/>
      <c r="F292" s="61">
        <v>0</v>
      </c>
      <c r="G292" s="61"/>
      <c r="H292" s="62" t="s">
        <v>343</v>
      </c>
      <c r="I292" s="63">
        <f t="shared" si="4"/>
        <v>0</v>
      </c>
    </row>
    <row r="293" spans="1:9" ht="15" customHeight="1" x14ac:dyDescent="0.25">
      <c r="A293" s="57">
        <v>45203</v>
      </c>
      <c r="B293" t="s">
        <v>122</v>
      </c>
      <c r="C293" s="58" t="s">
        <v>157</v>
      </c>
      <c r="D293" s="65" t="s">
        <v>88</v>
      </c>
      <c r="E293" s="66" t="s">
        <v>188</v>
      </c>
      <c r="F293" s="67"/>
      <c r="G293" s="67">
        <v>0</v>
      </c>
      <c r="H293" s="68" t="s">
        <v>343</v>
      </c>
      <c r="I293" s="63">
        <f t="shared" si="4"/>
        <v>0</v>
      </c>
    </row>
    <row r="294" spans="1:9" ht="15" customHeight="1" x14ac:dyDescent="0.25">
      <c r="A294" s="57">
        <v>45204</v>
      </c>
      <c r="B294" t="s">
        <v>115</v>
      </c>
      <c r="C294" s="58" t="s">
        <v>157</v>
      </c>
      <c r="D294" s="59" t="s">
        <v>88</v>
      </c>
      <c r="E294" s="60" t="s">
        <v>190</v>
      </c>
      <c r="F294" s="61">
        <v>18000</v>
      </c>
      <c r="G294" s="61"/>
      <c r="H294" s="62" t="s">
        <v>344</v>
      </c>
      <c r="I294" s="63">
        <f t="shared" si="4"/>
        <v>0</v>
      </c>
    </row>
    <row r="295" spans="1:9" ht="15" customHeight="1" x14ac:dyDescent="0.25">
      <c r="A295" s="57">
        <v>45204</v>
      </c>
      <c r="B295" t="s">
        <v>115</v>
      </c>
      <c r="C295" s="58" t="s">
        <v>60</v>
      </c>
      <c r="D295" s="65" t="s">
        <v>63</v>
      </c>
      <c r="E295" s="66"/>
      <c r="F295" s="67"/>
      <c r="G295" s="67">
        <v>18000</v>
      </c>
      <c r="H295" s="68" t="s">
        <v>344</v>
      </c>
      <c r="I295" s="63">
        <f t="shared" si="4"/>
        <v>0</v>
      </c>
    </row>
    <row r="296" spans="1:9" ht="15" customHeight="1" x14ac:dyDescent="0.25">
      <c r="A296" s="57">
        <v>45205</v>
      </c>
      <c r="B296" t="s">
        <v>113</v>
      </c>
      <c r="C296" s="58" t="s">
        <v>157</v>
      </c>
      <c r="D296" s="59" t="s">
        <v>88</v>
      </c>
      <c r="E296" s="60" t="s">
        <v>190</v>
      </c>
      <c r="F296" s="61">
        <v>5000</v>
      </c>
      <c r="G296" s="61"/>
      <c r="H296" s="62" t="s">
        <v>345</v>
      </c>
      <c r="I296" s="63">
        <f t="shared" si="4"/>
        <v>0</v>
      </c>
    </row>
    <row r="297" spans="1:9" ht="15" customHeight="1" x14ac:dyDescent="0.25">
      <c r="A297" s="57">
        <v>45205</v>
      </c>
      <c r="B297" t="s">
        <v>113</v>
      </c>
      <c r="C297" s="58" t="s">
        <v>60</v>
      </c>
      <c r="D297" s="65" t="s">
        <v>61</v>
      </c>
      <c r="E297" s="66"/>
      <c r="F297" s="67"/>
      <c r="G297" s="67">
        <v>5000</v>
      </c>
      <c r="H297" s="68" t="s">
        <v>345</v>
      </c>
      <c r="I297" s="63">
        <f t="shared" si="4"/>
        <v>0</v>
      </c>
    </row>
    <row r="298" spans="1:9" ht="15" customHeight="1" x14ac:dyDescent="0.25">
      <c r="A298" s="57">
        <v>45206</v>
      </c>
      <c r="B298" t="s">
        <v>194</v>
      </c>
      <c r="C298" s="58" t="s">
        <v>157</v>
      </c>
      <c r="D298" s="59" t="s">
        <v>90</v>
      </c>
      <c r="E298" s="60"/>
      <c r="F298" s="61">
        <v>6000</v>
      </c>
      <c r="G298" s="61"/>
      <c r="H298" s="62" t="s">
        <v>346</v>
      </c>
      <c r="I298" s="63">
        <f t="shared" si="4"/>
        <v>0</v>
      </c>
    </row>
    <row r="299" spans="1:9" ht="15" customHeight="1" x14ac:dyDescent="0.25">
      <c r="A299" s="57">
        <v>45206</v>
      </c>
      <c r="B299" t="s">
        <v>194</v>
      </c>
      <c r="C299" s="58" t="s">
        <v>60</v>
      </c>
      <c r="D299" s="65" t="s">
        <v>64</v>
      </c>
      <c r="E299" s="66"/>
      <c r="F299" s="67"/>
      <c r="G299" s="67">
        <v>6000</v>
      </c>
      <c r="H299" s="68" t="s">
        <v>346</v>
      </c>
      <c r="I299" s="63">
        <f t="shared" si="4"/>
        <v>0</v>
      </c>
    </row>
    <row r="300" spans="1:9" ht="15" customHeight="1" x14ac:dyDescent="0.25">
      <c r="A300" s="57">
        <v>45207</v>
      </c>
      <c r="B300" t="s">
        <v>114</v>
      </c>
      <c r="C300" s="58" t="s">
        <v>157</v>
      </c>
      <c r="D300" s="59" t="s">
        <v>88</v>
      </c>
      <c r="E300" s="60" t="s">
        <v>190</v>
      </c>
      <c r="F300" s="61">
        <v>21000</v>
      </c>
      <c r="G300" s="61"/>
      <c r="H300" s="62" t="s">
        <v>347</v>
      </c>
      <c r="I300" s="63">
        <f t="shared" si="4"/>
        <v>0</v>
      </c>
    </row>
    <row r="301" spans="1:9" ht="15" customHeight="1" x14ac:dyDescent="0.25">
      <c r="A301" s="57">
        <v>45207</v>
      </c>
      <c r="B301" t="s">
        <v>114</v>
      </c>
      <c r="C301" s="58" t="s">
        <v>157</v>
      </c>
      <c r="D301" s="65" t="s">
        <v>90</v>
      </c>
      <c r="E301" s="66"/>
      <c r="F301" s="67"/>
      <c r="G301" s="67">
        <v>21000</v>
      </c>
      <c r="H301" s="68" t="s">
        <v>347</v>
      </c>
      <c r="I301" s="63">
        <f t="shared" si="4"/>
        <v>0</v>
      </c>
    </row>
    <row r="302" spans="1:9" ht="15" customHeight="1" x14ac:dyDescent="0.25">
      <c r="A302" s="57">
        <v>45208</v>
      </c>
      <c r="B302" t="s">
        <v>118</v>
      </c>
      <c r="C302" s="58" t="s">
        <v>160</v>
      </c>
      <c r="D302" s="59" t="s">
        <v>77</v>
      </c>
      <c r="E302" s="60"/>
      <c r="F302" s="61">
        <v>5000</v>
      </c>
      <c r="G302" s="61"/>
      <c r="H302" s="62" t="s">
        <v>348</v>
      </c>
      <c r="I302" s="63">
        <f t="shared" si="4"/>
        <v>0</v>
      </c>
    </row>
    <row r="303" spans="1:9" ht="15" customHeight="1" x14ac:dyDescent="0.25">
      <c r="A303" s="57">
        <v>45208</v>
      </c>
      <c r="B303" t="s">
        <v>118</v>
      </c>
      <c r="C303" s="58" t="s">
        <v>157</v>
      </c>
      <c r="D303" s="65" t="s">
        <v>88</v>
      </c>
      <c r="E303" s="66" t="s">
        <v>188</v>
      </c>
      <c r="F303" s="67"/>
      <c r="G303" s="67">
        <v>5000</v>
      </c>
      <c r="H303" s="68" t="s">
        <v>348</v>
      </c>
      <c r="I303" s="63">
        <f t="shared" si="4"/>
        <v>0</v>
      </c>
    </row>
    <row r="304" spans="1:9" ht="15" customHeight="1" x14ac:dyDescent="0.25">
      <c r="A304" s="57">
        <v>45209</v>
      </c>
      <c r="B304" t="s">
        <v>119</v>
      </c>
      <c r="C304" s="58" t="s">
        <v>160</v>
      </c>
      <c r="D304" s="59" t="s">
        <v>72</v>
      </c>
      <c r="E304" s="60"/>
      <c r="F304" s="61">
        <v>8000</v>
      </c>
      <c r="G304" s="61"/>
      <c r="H304" s="62" t="s">
        <v>349</v>
      </c>
      <c r="I304" s="63">
        <f t="shared" si="4"/>
        <v>0</v>
      </c>
    </row>
    <row r="305" spans="1:9" ht="15" customHeight="1" x14ac:dyDescent="0.25">
      <c r="A305" s="57">
        <v>45209</v>
      </c>
      <c r="B305" t="s">
        <v>119</v>
      </c>
      <c r="C305" s="58" t="s">
        <v>157</v>
      </c>
      <c r="D305" s="65" t="s">
        <v>88</v>
      </c>
      <c r="E305" s="66" t="s">
        <v>188</v>
      </c>
      <c r="F305" s="67"/>
      <c r="G305" s="67">
        <v>8000</v>
      </c>
      <c r="H305" s="68" t="s">
        <v>349</v>
      </c>
      <c r="I305" s="63">
        <f t="shared" si="4"/>
        <v>0</v>
      </c>
    </row>
    <row r="306" spans="1:9" ht="15" customHeight="1" x14ac:dyDescent="0.25">
      <c r="A306" s="57">
        <v>45210</v>
      </c>
      <c r="B306" t="s">
        <v>120</v>
      </c>
      <c r="C306" s="58" t="s">
        <v>160</v>
      </c>
      <c r="D306" s="59" t="s">
        <v>81</v>
      </c>
      <c r="E306" s="60"/>
      <c r="F306" s="61">
        <v>2000</v>
      </c>
      <c r="G306" s="61"/>
      <c r="H306" s="62" t="s">
        <v>350</v>
      </c>
      <c r="I306" s="63">
        <f t="shared" si="4"/>
        <v>0</v>
      </c>
    </row>
    <row r="307" spans="1:9" ht="15" customHeight="1" x14ac:dyDescent="0.25">
      <c r="A307" s="57">
        <v>45210</v>
      </c>
      <c r="B307" t="s">
        <v>120</v>
      </c>
      <c r="C307" s="58" t="s">
        <v>157</v>
      </c>
      <c r="D307" s="65" t="s">
        <v>88</v>
      </c>
      <c r="E307" s="66" t="s">
        <v>188</v>
      </c>
      <c r="F307" s="67"/>
      <c r="G307" s="67">
        <v>2000</v>
      </c>
      <c r="H307" s="68" t="s">
        <v>350</v>
      </c>
      <c r="I307" s="63">
        <f t="shared" si="4"/>
        <v>0</v>
      </c>
    </row>
    <row r="308" spans="1:9" ht="15" customHeight="1" x14ac:dyDescent="0.25">
      <c r="A308" s="57">
        <v>45211</v>
      </c>
      <c r="B308" t="s">
        <v>121</v>
      </c>
      <c r="C308" s="58" t="s">
        <v>160</v>
      </c>
      <c r="D308" s="59" t="s">
        <v>71</v>
      </c>
      <c r="E308" s="60"/>
      <c r="F308" s="61">
        <v>1500</v>
      </c>
      <c r="G308" s="61"/>
      <c r="H308" s="62" t="s">
        <v>351</v>
      </c>
      <c r="I308" s="63">
        <f t="shared" si="4"/>
        <v>0</v>
      </c>
    </row>
    <row r="309" spans="1:9" ht="15" customHeight="1" x14ac:dyDescent="0.25">
      <c r="A309" s="57">
        <v>45211</v>
      </c>
      <c r="B309" t="s">
        <v>121</v>
      </c>
      <c r="C309" s="58" t="s">
        <v>157</v>
      </c>
      <c r="D309" s="65" t="s">
        <v>88</v>
      </c>
      <c r="E309" s="66" t="s">
        <v>188</v>
      </c>
      <c r="F309" s="67"/>
      <c r="G309" s="67">
        <v>1500</v>
      </c>
      <c r="H309" s="68" t="s">
        <v>351</v>
      </c>
      <c r="I309" s="63">
        <f t="shared" si="4"/>
        <v>0</v>
      </c>
    </row>
    <row r="310" spans="1:9" ht="15" customHeight="1" x14ac:dyDescent="0.25">
      <c r="A310" s="57">
        <v>45212</v>
      </c>
      <c r="B310" t="s">
        <v>126</v>
      </c>
      <c r="C310" s="58" t="s">
        <v>160</v>
      </c>
      <c r="D310" s="59" t="s">
        <v>79</v>
      </c>
      <c r="E310" s="60"/>
      <c r="F310" s="61">
        <v>2000</v>
      </c>
      <c r="G310" s="61"/>
      <c r="H310" s="62" t="s">
        <v>352</v>
      </c>
      <c r="I310" s="63">
        <f t="shared" si="4"/>
        <v>0</v>
      </c>
    </row>
    <row r="311" spans="1:9" ht="15" customHeight="1" x14ac:dyDescent="0.25">
      <c r="A311" s="57">
        <v>45212</v>
      </c>
      <c r="B311" t="s">
        <v>126</v>
      </c>
      <c r="C311" s="58" t="s">
        <v>157</v>
      </c>
      <c r="D311" s="65" t="s">
        <v>88</v>
      </c>
      <c r="E311" s="66" t="s">
        <v>188</v>
      </c>
      <c r="F311" s="67"/>
      <c r="G311" s="67">
        <v>2000</v>
      </c>
      <c r="H311" s="68" t="s">
        <v>352</v>
      </c>
      <c r="I311" s="63">
        <f t="shared" si="4"/>
        <v>0</v>
      </c>
    </row>
    <row r="312" spans="1:9" ht="15" customHeight="1" x14ac:dyDescent="0.25">
      <c r="A312" s="57">
        <v>45213</v>
      </c>
      <c r="B312" t="s">
        <v>128</v>
      </c>
      <c r="C312" s="58" t="s">
        <v>160</v>
      </c>
      <c r="D312" s="59" t="s">
        <v>75</v>
      </c>
      <c r="E312" s="60"/>
      <c r="F312" s="61">
        <v>1500</v>
      </c>
      <c r="G312" s="61"/>
      <c r="H312" s="62" t="s">
        <v>353</v>
      </c>
      <c r="I312" s="63">
        <f t="shared" si="4"/>
        <v>0</v>
      </c>
    </row>
    <row r="313" spans="1:9" ht="15" customHeight="1" x14ac:dyDescent="0.25">
      <c r="A313" s="57">
        <v>45213</v>
      </c>
      <c r="B313" t="s">
        <v>128</v>
      </c>
      <c r="C313" s="58" t="s">
        <v>157</v>
      </c>
      <c r="D313" s="69" t="s">
        <v>88</v>
      </c>
      <c r="E313" s="70" t="s">
        <v>188</v>
      </c>
      <c r="F313" s="71"/>
      <c r="G313" s="71">
        <v>1500</v>
      </c>
      <c r="H313" s="72" t="s">
        <v>353</v>
      </c>
      <c r="I313" s="63">
        <f t="shared" si="4"/>
        <v>0</v>
      </c>
    </row>
    <row r="314" spans="1:9" ht="15" customHeight="1" x14ac:dyDescent="0.25">
      <c r="A314" s="57">
        <v>45225</v>
      </c>
      <c r="B314" t="s">
        <v>204</v>
      </c>
      <c r="C314" s="58" t="s">
        <v>160</v>
      </c>
      <c r="D314" t="s">
        <v>67</v>
      </c>
      <c r="F314" s="73">
        <v>18000</v>
      </c>
      <c r="G314" s="73"/>
      <c r="H314" s="58" t="s">
        <v>354</v>
      </c>
      <c r="I314" s="63">
        <f t="shared" si="4"/>
        <v>0</v>
      </c>
    </row>
    <row r="315" spans="1:9" ht="15" customHeight="1" x14ac:dyDescent="0.25">
      <c r="A315" s="57">
        <v>45225</v>
      </c>
      <c r="B315" t="s">
        <v>204</v>
      </c>
      <c r="C315" t="s">
        <v>157</v>
      </c>
      <c r="D315" t="s">
        <v>92</v>
      </c>
      <c r="F315" s="24"/>
      <c r="G315" s="24">
        <v>18000</v>
      </c>
      <c r="H315" t="s">
        <v>354</v>
      </c>
      <c r="I315" s="74">
        <f t="shared" si="4"/>
        <v>0</v>
      </c>
    </row>
    <row r="316" spans="1:9" ht="15" customHeight="1" x14ac:dyDescent="0.25">
      <c r="A316" s="57">
        <v>45226</v>
      </c>
      <c r="B316" t="s">
        <v>207</v>
      </c>
      <c r="C316" t="s">
        <v>160</v>
      </c>
      <c r="D316" t="s">
        <v>73</v>
      </c>
      <c r="F316" s="24">
        <v>900</v>
      </c>
      <c r="G316" s="24"/>
      <c r="H316" t="s">
        <v>355</v>
      </c>
      <c r="I316" s="74">
        <f t="shared" si="4"/>
        <v>0</v>
      </c>
    </row>
    <row r="317" spans="1:9" ht="15" customHeight="1" x14ac:dyDescent="0.25">
      <c r="A317" s="57">
        <v>45226</v>
      </c>
      <c r="B317" t="s">
        <v>207</v>
      </c>
      <c r="C317" t="s">
        <v>157</v>
      </c>
      <c r="D317" t="s">
        <v>100</v>
      </c>
      <c r="F317" s="24"/>
      <c r="G317" s="24">
        <v>900</v>
      </c>
      <c r="H317" t="s">
        <v>355</v>
      </c>
      <c r="I317" s="74">
        <f t="shared" si="4"/>
        <v>0</v>
      </c>
    </row>
    <row r="318" spans="1:9" ht="15" customHeight="1" x14ac:dyDescent="0.25">
      <c r="A318" s="57">
        <v>45232</v>
      </c>
      <c r="B318" t="s">
        <v>181</v>
      </c>
      <c r="C318" t="s">
        <v>157</v>
      </c>
      <c r="D318" t="s">
        <v>90</v>
      </c>
      <c r="F318" s="24">
        <v>25000</v>
      </c>
      <c r="G318" s="24"/>
      <c r="H318" t="s">
        <v>356</v>
      </c>
      <c r="I318" s="74">
        <f t="shared" si="4"/>
        <v>0</v>
      </c>
    </row>
    <row r="319" spans="1:9" ht="15" customHeight="1" x14ac:dyDescent="0.25">
      <c r="A319" s="57">
        <v>45232</v>
      </c>
      <c r="B319" t="s">
        <v>181</v>
      </c>
      <c r="C319" t="s">
        <v>60</v>
      </c>
      <c r="D319" t="s">
        <v>63</v>
      </c>
      <c r="F319" s="24"/>
      <c r="G319" s="24">
        <v>25000</v>
      </c>
      <c r="H319" t="s">
        <v>356</v>
      </c>
      <c r="I319" s="74">
        <f t="shared" si="4"/>
        <v>0</v>
      </c>
    </row>
    <row r="320" spans="1:9" ht="15" customHeight="1" x14ac:dyDescent="0.25">
      <c r="A320" s="57">
        <v>45233</v>
      </c>
      <c r="B320" t="s">
        <v>184</v>
      </c>
      <c r="C320" t="s">
        <v>157</v>
      </c>
      <c r="D320" t="s">
        <v>92</v>
      </c>
      <c r="F320" s="24">
        <v>16000</v>
      </c>
      <c r="G320" s="24"/>
      <c r="H320" t="s">
        <v>357</v>
      </c>
      <c r="I320" s="74">
        <f t="shared" si="4"/>
        <v>0</v>
      </c>
    </row>
    <row r="321" spans="1:9" ht="15" customHeight="1" x14ac:dyDescent="0.25">
      <c r="A321" s="57">
        <v>45233</v>
      </c>
      <c r="B321" t="s">
        <v>184</v>
      </c>
      <c r="C321" t="s">
        <v>158</v>
      </c>
      <c r="D321" t="s">
        <v>89</v>
      </c>
      <c r="F321" s="24"/>
      <c r="G321" s="24">
        <v>16000</v>
      </c>
      <c r="H321" t="s">
        <v>357</v>
      </c>
      <c r="I321" s="74">
        <f t="shared" si="4"/>
        <v>0</v>
      </c>
    </row>
    <row r="322" spans="1:9" ht="15" customHeight="1" x14ac:dyDescent="0.25">
      <c r="A322" s="57">
        <v>45234</v>
      </c>
      <c r="B322" t="s">
        <v>122</v>
      </c>
      <c r="C322" t="s">
        <v>158</v>
      </c>
      <c r="D322" t="s">
        <v>89</v>
      </c>
      <c r="F322" s="24">
        <v>0</v>
      </c>
      <c r="G322" s="24"/>
      <c r="H322" t="s">
        <v>358</v>
      </c>
      <c r="I322" s="74">
        <f t="shared" ref="I322:I385" si="5">SUMIF($H:$H,H322,$F:$F)-SUMIF($H:$H,H322,$G:$G)</f>
        <v>0</v>
      </c>
    </row>
    <row r="323" spans="1:9" ht="15" customHeight="1" x14ac:dyDescent="0.25">
      <c r="A323" s="57">
        <v>45234</v>
      </c>
      <c r="B323" t="s">
        <v>122</v>
      </c>
      <c r="C323" t="s">
        <v>157</v>
      </c>
      <c r="D323" t="s">
        <v>88</v>
      </c>
      <c r="E323" t="s">
        <v>188</v>
      </c>
      <c r="F323" s="24"/>
      <c r="G323" s="24">
        <v>0</v>
      </c>
      <c r="H323" t="s">
        <v>358</v>
      </c>
      <c r="I323" s="74">
        <f t="shared" si="5"/>
        <v>0</v>
      </c>
    </row>
    <row r="324" spans="1:9" ht="15" customHeight="1" x14ac:dyDescent="0.25">
      <c r="A324" s="57">
        <v>45235</v>
      </c>
      <c r="B324" t="s">
        <v>115</v>
      </c>
      <c r="C324" t="s">
        <v>157</v>
      </c>
      <c r="D324" t="s">
        <v>88</v>
      </c>
      <c r="E324" t="s">
        <v>190</v>
      </c>
      <c r="F324" s="24">
        <v>11000</v>
      </c>
      <c r="G324" s="24"/>
      <c r="H324" t="s">
        <v>359</v>
      </c>
      <c r="I324" s="74">
        <f t="shared" si="5"/>
        <v>0</v>
      </c>
    </row>
    <row r="325" spans="1:9" ht="15" customHeight="1" x14ac:dyDescent="0.25">
      <c r="A325" s="57">
        <v>45235</v>
      </c>
      <c r="B325" t="s">
        <v>115</v>
      </c>
      <c r="C325" t="s">
        <v>60</v>
      </c>
      <c r="D325" t="s">
        <v>63</v>
      </c>
      <c r="F325" s="24"/>
      <c r="G325" s="24">
        <v>11000</v>
      </c>
      <c r="H325" t="s">
        <v>359</v>
      </c>
      <c r="I325" s="74">
        <f t="shared" si="5"/>
        <v>0</v>
      </c>
    </row>
    <row r="326" spans="1:9" ht="15" customHeight="1" x14ac:dyDescent="0.25">
      <c r="A326" s="57">
        <v>45236</v>
      </c>
      <c r="B326" t="s">
        <v>113</v>
      </c>
      <c r="C326" t="s">
        <v>157</v>
      </c>
      <c r="D326" t="s">
        <v>88</v>
      </c>
      <c r="E326" t="s">
        <v>190</v>
      </c>
      <c r="F326" s="24">
        <v>7500</v>
      </c>
      <c r="G326" s="24"/>
      <c r="H326" t="s">
        <v>360</v>
      </c>
      <c r="I326" s="74">
        <f t="shared" si="5"/>
        <v>0</v>
      </c>
    </row>
    <row r="327" spans="1:9" ht="15" customHeight="1" x14ac:dyDescent="0.25">
      <c r="A327" s="57">
        <v>45236</v>
      </c>
      <c r="B327" t="s">
        <v>113</v>
      </c>
      <c r="C327" t="s">
        <v>60</v>
      </c>
      <c r="D327" t="s">
        <v>61</v>
      </c>
      <c r="F327" s="24"/>
      <c r="G327" s="24">
        <v>7500</v>
      </c>
      <c r="H327" t="s">
        <v>360</v>
      </c>
      <c r="I327" s="74">
        <f t="shared" si="5"/>
        <v>0</v>
      </c>
    </row>
    <row r="328" spans="1:9" ht="15" customHeight="1" x14ac:dyDescent="0.25">
      <c r="A328" s="57">
        <v>45237</v>
      </c>
      <c r="B328" t="s">
        <v>194</v>
      </c>
      <c r="C328" t="s">
        <v>157</v>
      </c>
      <c r="D328" t="s">
        <v>90</v>
      </c>
      <c r="F328" s="24">
        <v>10000</v>
      </c>
      <c r="G328" s="24"/>
      <c r="H328" t="s">
        <v>361</v>
      </c>
      <c r="I328" s="74">
        <f t="shared" si="5"/>
        <v>0</v>
      </c>
    </row>
    <row r="329" spans="1:9" ht="15" customHeight="1" x14ac:dyDescent="0.25">
      <c r="A329" s="57">
        <v>45237</v>
      </c>
      <c r="B329" t="s">
        <v>194</v>
      </c>
      <c r="C329" t="s">
        <v>60</v>
      </c>
      <c r="D329" t="s">
        <v>64</v>
      </c>
      <c r="F329" s="24"/>
      <c r="G329" s="24">
        <v>10000</v>
      </c>
      <c r="H329" t="s">
        <v>361</v>
      </c>
      <c r="I329" s="74">
        <f t="shared" si="5"/>
        <v>0</v>
      </c>
    </row>
    <row r="330" spans="1:9" ht="15" customHeight="1" x14ac:dyDescent="0.25">
      <c r="A330" s="57">
        <v>45238</v>
      </c>
      <c r="B330" t="s">
        <v>114</v>
      </c>
      <c r="C330" t="s">
        <v>157</v>
      </c>
      <c r="D330" t="s">
        <v>88</v>
      </c>
      <c r="E330" t="s">
        <v>190</v>
      </c>
      <c r="F330" s="24">
        <v>24000</v>
      </c>
      <c r="G330" s="24"/>
      <c r="H330" t="s">
        <v>362</v>
      </c>
      <c r="I330" s="74">
        <f t="shared" si="5"/>
        <v>0</v>
      </c>
    </row>
    <row r="331" spans="1:9" ht="15" customHeight="1" x14ac:dyDescent="0.25">
      <c r="A331" s="57">
        <v>45238</v>
      </c>
      <c r="B331" t="s">
        <v>114</v>
      </c>
      <c r="C331" t="s">
        <v>157</v>
      </c>
      <c r="D331" t="s">
        <v>90</v>
      </c>
      <c r="F331" s="24"/>
      <c r="G331" s="24">
        <v>24000</v>
      </c>
      <c r="H331" t="s">
        <v>362</v>
      </c>
      <c r="I331" s="74">
        <f t="shared" si="5"/>
        <v>0</v>
      </c>
    </row>
    <row r="332" spans="1:9" ht="15" customHeight="1" x14ac:dyDescent="0.25">
      <c r="A332" s="57">
        <v>45239</v>
      </c>
      <c r="B332" t="s">
        <v>118</v>
      </c>
      <c r="C332" t="s">
        <v>160</v>
      </c>
      <c r="D332" t="s">
        <v>77</v>
      </c>
      <c r="F332" s="24">
        <v>3500</v>
      </c>
      <c r="G332" s="24"/>
      <c r="H332" t="s">
        <v>363</v>
      </c>
      <c r="I332" s="74">
        <f t="shared" si="5"/>
        <v>0</v>
      </c>
    </row>
    <row r="333" spans="1:9" ht="15" customHeight="1" x14ac:dyDescent="0.25">
      <c r="A333" s="57">
        <v>45239</v>
      </c>
      <c r="B333" t="s">
        <v>118</v>
      </c>
      <c r="C333" t="s">
        <v>157</v>
      </c>
      <c r="D333" t="s">
        <v>88</v>
      </c>
      <c r="E333" t="s">
        <v>188</v>
      </c>
      <c r="F333" s="24"/>
      <c r="G333" s="24">
        <v>3500</v>
      </c>
      <c r="H333" t="s">
        <v>363</v>
      </c>
      <c r="I333" s="74">
        <f t="shared" si="5"/>
        <v>0</v>
      </c>
    </row>
    <row r="334" spans="1:9" ht="15" customHeight="1" x14ac:dyDescent="0.25">
      <c r="A334" s="57">
        <v>45240</v>
      </c>
      <c r="B334" t="s">
        <v>119</v>
      </c>
      <c r="C334" t="s">
        <v>160</v>
      </c>
      <c r="D334" t="s">
        <v>72</v>
      </c>
      <c r="F334" s="24">
        <v>6500</v>
      </c>
      <c r="G334" s="24"/>
      <c r="H334" t="s">
        <v>364</v>
      </c>
      <c r="I334" s="74">
        <f t="shared" si="5"/>
        <v>0</v>
      </c>
    </row>
    <row r="335" spans="1:9" ht="15" customHeight="1" x14ac:dyDescent="0.25">
      <c r="A335" s="57">
        <v>45240</v>
      </c>
      <c r="B335" t="s">
        <v>119</v>
      </c>
      <c r="C335" t="s">
        <v>157</v>
      </c>
      <c r="D335" t="s">
        <v>88</v>
      </c>
      <c r="E335" t="s">
        <v>188</v>
      </c>
      <c r="F335" s="24"/>
      <c r="G335" s="24">
        <v>6500</v>
      </c>
      <c r="H335" t="s">
        <v>364</v>
      </c>
      <c r="I335" s="74">
        <f t="shared" si="5"/>
        <v>0</v>
      </c>
    </row>
    <row r="336" spans="1:9" ht="15" customHeight="1" x14ac:dyDescent="0.25">
      <c r="A336" s="57">
        <v>45241</v>
      </c>
      <c r="B336" t="s">
        <v>120</v>
      </c>
      <c r="C336" t="s">
        <v>160</v>
      </c>
      <c r="D336" t="s">
        <v>81</v>
      </c>
      <c r="F336" s="24">
        <v>1500</v>
      </c>
      <c r="G336" s="24"/>
      <c r="H336" t="s">
        <v>365</v>
      </c>
      <c r="I336" s="74">
        <f t="shared" si="5"/>
        <v>0</v>
      </c>
    </row>
    <row r="337" spans="1:9" ht="15" customHeight="1" x14ac:dyDescent="0.25">
      <c r="A337" s="57">
        <v>45241</v>
      </c>
      <c r="B337" t="s">
        <v>120</v>
      </c>
      <c r="C337" t="s">
        <v>157</v>
      </c>
      <c r="D337" t="s">
        <v>88</v>
      </c>
      <c r="E337" t="s">
        <v>188</v>
      </c>
      <c r="F337" s="24"/>
      <c r="G337" s="24">
        <v>1500</v>
      </c>
      <c r="H337" t="s">
        <v>365</v>
      </c>
      <c r="I337" s="74">
        <f t="shared" si="5"/>
        <v>0</v>
      </c>
    </row>
    <row r="338" spans="1:9" ht="15" customHeight="1" x14ac:dyDescent="0.25">
      <c r="A338" s="57">
        <v>45242</v>
      </c>
      <c r="B338" t="s">
        <v>121</v>
      </c>
      <c r="C338" t="s">
        <v>160</v>
      </c>
      <c r="D338" t="s">
        <v>71</v>
      </c>
      <c r="F338" s="24">
        <v>1000</v>
      </c>
      <c r="G338" s="24"/>
      <c r="H338" t="s">
        <v>366</v>
      </c>
      <c r="I338" s="74">
        <f t="shared" si="5"/>
        <v>0</v>
      </c>
    </row>
    <row r="339" spans="1:9" ht="15" customHeight="1" x14ac:dyDescent="0.25">
      <c r="A339" s="57">
        <v>45242</v>
      </c>
      <c r="B339" t="s">
        <v>121</v>
      </c>
      <c r="C339" t="s">
        <v>157</v>
      </c>
      <c r="D339" t="s">
        <v>88</v>
      </c>
      <c r="E339" t="s">
        <v>188</v>
      </c>
      <c r="F339" s="24"/>
      <c r="G339" s="24">
        <v>1000</v>
      </c>
      <c r="H339" t="s">
        <v>366</v>
      </c>
      <c r="I339" s="74">
        <f t="shared" si="5"/>
        <v>0</v>
      </c>
    </row>
    <row r="340" spans="1:9" ht="15" customHeight="1" x14ac:dyDescent="0.25">
      <c r="A340" s="57">
        <v>45243</v>
      </c>
      <c r="B340" t="s">
        <v>127</v>
      </c>
      <c r="C340" t="s">
        <v>160</v>
      </c>
      <c r="D340" t="s">
        <v>78</v>
      </c>
      <c r="F340" s="24">
        <v>500</v>
      </c>
      <c r="G340" s="24"/>
      <c r="H340" t="s">
        <v>367</v>
      </c>
      <c r="I340" s="74">
        <f t="shared" si="5"/>
        <v>0</v>
      </c>
    </row>
    <row r="341" spans="1:9" ht="15" customHeight="1" x14ac:dyDescent="0.25">
      <c r="A341" s="57">
        <v>45243</v>
      </c>
      <c r="B341" t="s">
        <v>127</v>
      </c>
      <c r="C341" t="s">
        <v>157</v>
      </c>
      <c r="D341" t="s">
        <v>88</v>
      </c>
      <c r="E341" t="s">
        <v>188</v>
      </c>
      <c r="F341" s="24"/>
      <c r="G341" s="24">
        <v>500</v>
      </c>
      <c r="H341" t="s">
        <v>367</v>
      </c>
      <c r="I341" s="74">
        <f t="shared" si="5"/>
        <v>0</v>
      </c>
    </row>
    <row r="342" spans="1:9" ht="15" customHeight="1" x14ac:dyDescent="0.25">
      <c r="A342" s="57">
        <v>45244</v>
      </c>
      <c r="B342" t="s">
        <v>128</v>
      </c>
      <c r="C342" t="s">
        <v>160</v>
      </c>
      <c r="D342" t="s">
        <v>75</v>
      </c>
      <c r="F342" s="24">
        <v>500</v>
      </c>
      <c r="G342" s="24"/>
      <c r="H342" t="s">
        <v>368</v>
      </c>
      <c r="I342" s="74">
        <f t="shared" si="5"/>
        <v>0</v>
      </c>
    </row>
    <row r="343" spans="1:9" ht="15" customHeight="1" x14ac:dyDescent="0.25">
      <c r="A343" s="57">
        <v>45244</v>
      </c>
      <c r="B343" t="s">
        <v>128</v>
      </c>
      <c r="C343" t="s">
        <v>157</v>
      </c>
      <c r="D343" t="s">
        <v>88</v>
      </c>
      <c r="E343" t="s">
        <v>188</v>
      </c>
      <c r="F343" s="24"/>
      <c r="G343" s="24">
        <v>500</v>
      </c>
      <c r="H343" t="s">
        <v>368</v>
      </c>
      <c r="I343" s="74">
        <f t="shared" si="5"/>
        <v>0</v>
      </c>
    </row>
    <row r="344" spans="1:9" ht="15" customHeight="1" x14ac:dyDescent="0.25">
      <c r="A344" s="57">
        <v>45256</v>
      </c>
      <c r="B344" t="s">
        <v>204</v>
      </c>
      <c r="C344" t="s">
        <v>160</v>
      </c>
      <c r="D344" t="s">
        <v>67</v>
      </c>
      <c r="F344" s="24">
        <v>14000</v>
      </c>
      <c r="G344" s="24"/>
      <c r="H344" t="s">
        <v>369</v>
      </c>
      <c r="I344" s="74">
        <f t="shared" si="5"/>
        <v>0</v>
      </c>
    </row>
    <row r="345" spans="1:9" ht="15" customHeight="1" x14ac:dyDescent="0.25">
      <c r="A345" s="57">
        <v>45256</v>
      </c>
      <c r="B345" t="s">
        <v>204</v>
      </c>
      <c r="C345" t="s">
        <v>157</v>
      </c>
      <c r="D345" t="s">
        <v>92</v>
      </c>
      <c r="F345" s="24"/>
      <c r="G345" s="24">
        <v>14000</v>
      </c>
      <c r="H345" t="s">
        <v>369</v>
      </c>
      <c r="I345" s="74">
        <f t="shared" si="5"/>
        <v>0</v>
      </c>
    </row>
    <row r="346" spans="1:9" ht="15" customHeight="1" x14ac:dyDescent="0.25">
      <c r="A346" s="57">
        <v>45257</v>
      </c>
      <c r="B346" t="s">
        <v>207</v>
      </c>
      <c r="C346" t="s">
        <v>160</v>
      </c>
      <c r="D346" t="s">
        <v>73</v>
      </c>
      <c r="F346" s="24">
        <v>600</v>
      </c>
      <c r="G346" s="24"/>
      <c r="H346" t="s">
        <v>370</v>
      </c>
      <c r="I346" s="74">
        <f t="shared" si="5"/>
        <v>0</v>
      </c>
    </row>
    <row r="347" spans="1:9" ht="15" customHeight="1" x14ac:dyDescent="0.25">
      <c r="A347" s="57">
        <v>45257</v>
      </c>
      <c r="B347" t="s">
        <v>207</v>
      </c>
      <c r="C347" t="s">
        <v>157</v>
      </c>
      <c r="D347" t="s">
        <v>100</v>
      </c>
      <c r="F347" s="24"/>
      <c r="G347" s="24">
        <v>600</v>
      </c>
      <c r="H347" t="s">
        <v>370</v>
      </c>
      <c r="I347" s="74">
        <f t="shared" si="5"/>
        <v>0</v>
      </c>
    </row>
    <row r="348" spans="1:9" ht="15" customHeight="1" x14ac:dyDescent="0.25">
      <c r="A348" s="57">
        <v>45262</v>
      </c>
      <c r="B348" t="s">
        <v>181</v>
      </c>
      <c r="C348" t="s">
        <v>157</v>
      </c>
      <c r="D348" t="s">
        <v>90</v>
      </c>
      <c r="F348" s="24">
        <v>29000</v>
      </c>
      <c r="G348" s="24"/>
      <c r="H348" t="s">
        <v>371</v>
      </c>
      <c r="I348" s="74">
        <f t="shared" si="5"/>
        <v>0</v>
      </c>
    </row>
    <row r="349" spans="1:9" ht="15" customHeight="1" x14ac:dyDescent="0.25">
      <c r="A349" s="57">
        <v>45262</v>
      </c>
      <c r="B349" t="s">
        <v>181</v>
      </c>
      <c r="C349" t="s">
        <v>60</v>
      </c>
      <c r="D349" t="s">
        <v>63</v>
      </c>
      <c r="F349" s="24"/>
      <c r="G349" s="24">
        <v>29000</v>
      </c>
      <c r="H349" t="s">
        <v>371</v>
      </c>
      <c r="I349" s="74">
        <f t="shared" si="5"/>
        <v>0</v>
      </c>
    </row>
    <row r="350" spans="1:9" ht="15" customHeight="1" x14ac:dyDescent="0.25">
      <c r="A350" s="57">
        <v>45263</v>
      </c>
      <c r="B350" t="s">
        <v>184</v>
      </c>
      <c r="C350" t="s">
        <v>157</v>
      </c>
      <c r="D350" t="s">
        <v>92</v>
      </c>
      <c r="F350" s="24">
        <v>22500</v>
      </c>
      <c r="G350" s="24"/>
      <c r="H350" t="s">
        <v>372</v>
      </c>
      <c r="I350" s="74">
        <f t="shared" si="5"/>
        <v>0</v>
      </c>
    </row>
    <row r="351" spans="1:9" ht="15" customHeight="1" x14ac:dyDescent="0.25">
      <c r="A351" s="57">
        <v>45263</v>
      </c>
      <c r="B351" t="s">
        <v>184</v>
      </c>
      <c r="C351" t="s">
        <v>158</v>
      </c>
      <c r="D351" t="s">
        <v>89</v>
      </c>
      <c r="F351" s="24"/>
      <c r="G351" s="24">
        <v>22500</v>
      </c>
      <c r="H351" t="s">
        <v>372</v>
      </c>
      <c r="I351" s="74">
        <f t="shared" si="5"/>
        <v>0</v>
      </c>
    </row>
    <row r="352" spans="1:9" ht="15" customHeight="1" x14ac:dyDescent="0.25">
      <c r="A352" s="57">
        <v>45264</v>
      </c>
      <c r="B352" t="s">
        <v>122</v>
      </c>
      <c r="C352" t="s">
        <v>158</v>
      </c>
      <c r="D352" t="s">
        <v>89</v>
      </c>
      <c r="F352" s="24">
        <v>0</v>
      </c>
      <c r="G352" s="24"/>
      <c r="H352" t="s">
        <v>373</v>
      </c>
      <c r="I352" s="74">
        <f t="shared" si="5"/>
        <v>0</v>
      </c>
    </row>
    <row r="353" spans="1:9" ht="15" customHeight="1" x14ac:dyDescent="0.25">
      <c r="A353" s="57">
        <v>45264</v>
      </c>
      <c r="B353" t="s">
        <v>122</v>
      </c>
      <c r="C353" t="s">
        <v>157</v>
      </c>
      <c r="D353" t="s">
        <v>88</v>
      </c>
      <c r="E353" t="s">
        <v>188</v>
      </c>
      <c r="F353" s="24"/>
      <c r="G353" s="24">
        <v>0</v>
      </c>
      <c r="H353" t="s">
        <v>373</v>
      </c>
      <c r="I353" s="74">
        <f t="shared" si="5"/>
        <v>0</v>
      </c>
    </row>
    <row r="354" spans="1:9" ht="15" customHeight="1" x14ac:dyDescent="0.25">
      <c r="A354" s="57">
        <v>45265</v>
      </c>
      <c r="B354" t="s">
        <v>115</v>
      </c>
      <c r="C354" t="s">
        <v>157</v>
      </c>
      <c r="D354" t="s">
        <v>88</v>
      </c>
      <c r="E354" t="s">
        <v>190</v>
      </c>
      <c r="F354" s="24">
        <v>13000</v>
      </c>
      <c r="G354" s="24"/>
      <c r="H354" t="s">
        <v>374</v>
      </c>
      <c r="I354" s="74">
        <f t="shared" si="5"/>
        <v>0</v>
      </c>
    </row>
    <row r="355" spans="1:9" ht="15" customHeight="1" x14ac:dyDescent="0.25">
      <c r="A355" s="57">
        <v>45265</v>
      </c>
      <c r="B355" t="s">
        <v>115</v>
      </c>
      <c r="C355" t="s">
        <v>60</v>
      </c>
      <c r="D355" t="s">
        <v>63</v>
      </c>
      <c r="F355" s="24"/>
      <c r="G355" s="24">
        <v>13000</v>
      </c>
      <c r="H355" t="s">
        <v>374</v>
      </c>
      <c r="I355" s="74">
        <f t="shared" si="5"/>
        <v>0</v>
      </c>
    </row>
    <row r="356" spans="1:9" ht="15" customHeight="1" x14ac:dyDescent="0.25">
      <c r="A356" s="57">
        <v>45266</v>
      </c>
      <c r="B356" t="s">
        <v>113</v>
      </c>
      <c r="C356" t="s">
        <v>157</v>
      </c>
      <c r="D356" t="s">
        <v>88</v>
      </c>
      <c r="E356" t="s">
        <v>190</v>
      </c>
      <c r="F356" s="24">
        <v>3500</v>
      </c>
      <c r="G356" s="24"/>
      <c r="H356" t="s">
        <v>375</v>
      </c>
      <c r="I356" s="74">
        <f t="shared" si="5"/>
        <v>0</v>
      </c>
    </row>
    <row r="357" spans="1:9" ht="15" customHeight="1" x14ac:dyDescent="0.25">
      <c r="A357" s="57">
        <v>45266</v>
      </c>
      <c r="B357" t="s">
        <v>113</v>
      </c>
      <c r="C357" t="s">
        <v>60</v>
      </c>
      <c r="D357" t="s">
        <v>61</v>
      </c>
      <c r="F357" s="24"/>
      <c r="G357" s="24">
        <v>3500</v>
      </c>
      <c r="H357" t="s">
        <v>375</v>
      </c>
      <c r="I357" s="74">
        <f t="shared" si="5"/>
        <v>0</v>
      </c>
    </row>
    <row r="358" spans="1:9" ht="15" customHeight="1" x14ac:dyDescent="0.25">
      <c r="A358" s="57">
        <v>45267</v>
      </c>
      <c r="B358" t="s">
        <v>194</v>
      </c>
      <c r="C358" t="s">
        <v>157</v>
      </c>
      <c r="D358" t="s">
        <v>90</v>
      </c>
      <c r="F358" s="24">
        <v>11000</v>
      </c>
      <c r="G358" s="24"/>
      <c r="H358" t="s">
        <v>376</v>
      </c>
      <c r="I358" s="74">
        <f t="shared" si="5"/>
        <v>0</v>
      </c>
    </row>
    <row r="359" spans="1:9" ht="15" customHeight="1" x14ac:dyDescent="0.25">
      <c r="A359" s="57">
        <v>45267</v>
      </c>
      <c r="B359" t="s">
        <v>194</v>
      </c>
      <c r="C359" t="s">
        <v>60</v>
      </c>
      <c r="D359" t="s">
        <v>64</v>
      </c>
      <c r="F359" s="24"/>
      <c r="G359" s="24">
        <v>11000</v>
      </c>
      <c r="H359" t="s">
        <v>376</v>
      </c>
      <c r="I359" s="74">
        <f t="shared" si="5"/>
        <v>0</v>
      </c>
    </row>
    <row r="360" spans="1:9" ht="15" customHeight="1" x14ac:dyDescent="0.25">
      <c r="A360" s="57">
        <v>45268</v>
      </c>
      <c r="B360" t="s">
        <v>114</v>
      </c>
      <c r="C360" t="s">
        <v>157</v>
      </c>
      <c r="D360" t="s">
        <v>88</v>
      </c>
      <c r="E360" t="s">
        <v>190</v>
      </c>
      <c r="F360" s="24">
        <v>23000</v>
      </c>
      <c r="G360" s="24"/>
      <c r="H360" t="s">
        <v>377</v>
      </c>
      <c r="I360" s="74">
        <f t="shared" si="5"/>
        <v>0</v>
      </c>
    </row>
    <row r="361" spans="1:9" ht="15" customHeight="1" x14ac:dyDescent="0.25">
      <c r="A361" s="57">
        <v>45268</v>
      </c>
      <c r="B361" t="s">
        <v>114</v>
      </c>
      <c r="C361" t="s">
        <v>157</v>
      </c>
      <c r="D361" t="s">
        <v>90</v>
      </c>
      <c r="F361" s="24"/>
      <c r="G361" s="24">
        <v>23000</v>
      </c>
      <c r="H361" t="s">
        <v>377</v>
      </c>
      <c r="I361" s="74">
        <f t="shared" si="5"/>
        <v>0</v>
      </c>
    </row>
    <row r="362" spans="1:9" ht="15" customHeight="1" x14ac:dyDescent="0.25">
      <c r="A362" s="57">
        <v>45269</v>
      </c>
      <c r="B362" t="s">
        <v>118</v>
      </c>
      <c r="C362" t="s">
        <v>160</v>
      </c>
      <c r="D362" t="s">
        <v>77</v>
      </c>
      <c r="F362" s="24">
        <v>5500</v>
      </c>
      <c r="G362" s="24"/>
      <c r="H362" t="s">
        <v>378</v>
      </c>
      <c r="I362" s="74">
        <f t="shared" si="5"/>
        <v>0</v>
      </c>
    </row>
    <row r="363" spans="1:9" ht="15" customHeight="1" x14ac:dyDescent="0.25">
      <c r="A363" s="57">
        <v>45269</v>
      </c>
      <c r="B363" t="s">
        <v>118</v>
      </c>
      <c r="C363" t="s">
        <v>157</v>
      </c>
      <c r="D363" t="s">
        <v>88</v>
      </c>
      <c r="E363" t="s">
        <v>188</v>
      </c>
      <c r="F363" s="24"/>
      <c r="G363" s="24">
        <v>5500</v>
      </c>
      <c r="H363" t="s">
        <v>378</v>
      </c>
      <c r="I363" s="74">
        <f t="shared" si="5"/>
        <v>0</v>
      </c>
    </row>
    <row r="364" spans="1:9" ht="15" customHeight="1" x14ac:dyDescent="0.25">
      <c r="A364" s="57">
        <v>45270</v>
      </c>
      <c r="B364" t="s">
        <v>119</v>
      </c>
      <c r="C364" t="s">
        <v>160</v>
      </c>
      <c r="D364" t="s">
        <v>72</v>
      </c>
      <c r="F364" s="24">
        <v>4500</v>
      </c>
      <c r="G364" s="24"/>
      <c r="H364" t="s">
        <v>379</v>
      </c>
      <c r="I364" s="74">
        <f t="shared" si="5"/>
        <v>0</v>
      </c>
    </row>
    <row r="365" spans="1:9" ht="15" customHeight="1" x14ac:dyDescent="0.25">
      <c r="A365" s="57">
        <v>45270</v>
      </c>
      <c r="B365" t="s">
        <v>119</v>
      </c>
      <c r="C365" t="s">
        <v>157</v>
      </c>
      <c r="D365" t="s">
        <v>88</v>
      </c>
      <c r="E365" t="s">
        <v>188</v>
      </c>
      <c r="F365" s="24"/>
      <c r="G365" s="24">
        <v>4500</v>
      </c>
      <c r="H365" t="s">
        <v>379</v>
      </c>
      <c r="I365" s="74">
        <f t="shared" si="5"/>
        <v>0</v>
      </c>
    </row>
    <row r="366" spans="1:9" ht="15" customHeight="1" x14ac:dyDescent="0.25">
      <c r="A366" s="57">
        <v>45271</v>
      </c>
      <c r="B366" t="s">
        <v>120</v>
      </c>
      <c r="C366" t="s">
        <v>160</v>
      </c>
      <c r="D366" t="s">
        <v>81</v>
      </c>
      <c r="F366" s="24">
        <v>2500</v>
      </c>
      <c r="G366" s="24"/>
      <c r="H366" t="s">
        <v>380</v>
      </c>
      <c r="I366" s="74">
        <f t="shared" si="5"/>
        <v>0</v>
      </c>
    </row>
    <row r="367" spans="1:9" ht="15" customHeight="1" x14ac:dyDescent="0.25">
      <c r="A367" s="57">
        <v>45271</v>
      </c>
      <c r="B367" t="s">
        <v>120</v>
      </c>
      <c r="C367" t="s">
        <v>157</v>
      </c>
      <c r="D367" t="s">
        <v>88</v>
      </c>
      <c r="E367" t="s">
        <v>188</v>
      </c>
      <c r="F367" s="24"/>
      <c r="G367" s="24">
        <v>2500</v>
      </c>
      <c r="H367" t="s">
        <v>380</v>
      </c>
      <c r="I367" s="74">
        <f t="shared" si="5"/>
        <v>0</v>
      </c>
    </row>
    <row r="368" spans="1:9" ht="15" customHeight="1" x14ac:dyDescent="0.25">
      <c r="A368" s="57">
        <v>45272</v>
      </c>
      <c r="B368" t="s">
        <v>121</v>
      </c>
      <c r="C368" t="s">
        <v>160</v>
      </c>
      <c r="D368" t="s">
        <v>71</v>
      </c>
      <c r="F368" s="24">
        <v>500</v>
      </c>
      <c r="G368" s="24"/>
      <c r="H368" t="s">
        <v>381</v>
      </c>
      <c r="I368" s="74">
        <f t="shared" si="5"/>
        <v>0</v>
      </c>
    </row>
    <row r="369" spans="1:9" ht="15" customHeight="1" x14ac:dyDescent="0.25">
      <c r="A369" s="57">
        <v>45272</v>
      </c>
      <c r="B369" t="s">
        <v>121</v>
      </c>
      <c r="C369" t="s">
        <v>157</v>
      </c>
      <c r="D369" t="s">
        <v>88</v>
      </c>
      <c r="E369" t="s">
        <v>188</v>
      </c>
      <c r="F369" s="24"/>
      <c r="G369" s="24">
        <v>500</v>
      </c>
      <c r="H369" t="s">
        <v>381</v>
      </c>
      <c r="I369" s="74">
        <f t="shared" si="5"/>
        <v>0</v>
      </c>
    </row>
    <row r="370" spans="1:9" ht="15" customHeight="1" x14ac:dyDescent="0.25">
      <c r="A370" s="57">
        <v>45273</v>
      </c>
      <c r="B370" t="s">
        <v>123</v>
      </c>
      <c r="C370" t="s">
        <v>160</v>
      </c>
      <c r="D370" t="s">
        <v>80</v>
      </c>
      <c r="F370" s="24">
        <v>1500</v>
      </c>
      <c r="G370" s="24"/>
      <c r="H370" t="s">
        <v>382</v>
      </c>
      <c r="I370" s="74">
        <f t="shared" si="5"/>
        <v>0</v>
      </c>
    </row>
    <row r="371" spans="1:9" ht="15" customHeight="1" x14ac:dyDescent="0.25">
      <c r="A371" s="57">
        <v>45273</v>
      </c>
      <c r="B371" t="s">
        <v>123</v>
      </c>
      <c r="C371" t="s">
        <v>157</v>
      </c>
      <c r="D371" t="s">
        <v>88</v>
      </c>
      <c r="E371" t="s">
        <v>188</v>
      </c>
      <c r="F371" s="24"/>
      <c r="G371" s="24">
        <v>1500</v>
      </c>
      <c r="H371" t="s">
        <v>382</v>
      </c>
      <c r="I371" s="74">
        <f t="shared" si="5"/>
        <v>0</v>
      </c>
    </row>
    <row r="372" spans="1:9" ht="15" customHeight="1" x14ac:dyDescent="0.25">
      <c r="A372" s="57">
        <v>45274</v>
      </c>
      <c r="B372" t="s">
        <v>128</v>
      </c>
      <c r="C372" t="s">
        <v>160</v>
      </c>
      <c r="D372" t="s">
        <v>75</v>
      </c>
      <c r="F372" s="24">
        <v>1000</v>
      </c>
      <c r="G372" s="24"/>
      <c r="H372" t="s">
        <v>383</v>
      </c>
      <c r="I372" s="74">
        <f t="shared" si="5"/>
        <v>0</v>
      </c>
    </row>
    <row r="373" spans="1:9" ht="15" customHeight="1" x14ac:dyDescent="0.25">
      <c r="A373" s="57">
        <v>45274</v>
      </c>
      <c r="B373" t="s">
        <v>128</v>
      </c>
      <c r="C373" t="s">
        <v>157</v>
      </c>
      <c r="D373" t="s">
        <v>88</v>
      </c>
      <c r="E373" t="s">
        <v>188</v>
      </c>
      <c r="F373" s="24"/>
      <c r="G373" s="24">
        <v>1000</v>
      </c>
      <c r="H373" t="s">
        <v>383</v>
      </c>
      <c r="I373" s="74">
        <f t="shared" si="5"/>
        <v>0</v>
      </c>
    </row>
    <row r="374" spans="1:9" ht="15" customHeight="1" x14ac:dyDescent="0.25">
      <c r="A374" s="57">
        <v>45276</v>
      </c>
      <c r="B374" t="s">
        <v>136</v>
      </c>
      <c r="C374" t="s">
        <v>157</v>
      </c>
      <c r="D374" t="s">
        <v>98</v>
      </c>
      <c r="F374" s="24">
        <v>4000</v>
      </c>
      <c r="G374" s="24"/>
      <c r="H374" t="s">
        <v>384</v>
      </c>
      <c r="I374" s="74">
        <f t="shared" si="5"/>
        <v>0</v>
      </c>
    </row>
    <row r="375" spans="1:9" ht="15" customHeight="1" x14ac:dyDescent="0.25">
      <c r="A375" s="57">
        <v>45276</v>
      </c>
      <c r="B375" t="s">
        <v>136</v>
      </c>
      <c r="C375" t="s">
        <v>157</v>
      </c>
      <c r="D375" t="s">
        <v>88</v>
      </c>
      <c r="E375" t="s">
        <v>242</v>
      </c>
      <c r="F375" s="24"/>
      <c r="G375" s="24">
        <v>4000</v>
      </c>
      <c r="H375" t="s">
        <v>384</v>
      </c>
      <c r="I375" s="74">
        <f t="shared" si="5"/>
        <v>0</v>
      </c>
    </row>
    <row r="376" spans="1:9" ht="15" customHeight="1" x14ac:dyDescent="0.25">
      <c r="A376" s="57">
        <v>45278</v>
      </c>
      <c r="B376" t="s">
        <v>133</v>
      </c>
      <c r="C376" t="s">
        <v>157</v>
      </c>
      <c r="D376" t="s">
        <v>88</v>
      </c>
      <c r="E376" t="s">
        <v>243</v>
      </c>
      <c r="F376" s="24">
        <v>1500</v>
      </c>
      <c r="G376" s="24"/>
      <c r="H376" t="s">
        <v>385</v>
      </c>
      <c r="I376" s="74">
        <f t="shared" si="5"/>
        <v>0</v>
      </c>
    </row>
    <row r="377" spans="1:9" ht="15" customHeight="1" x14ac:dyDescent="0.25">
      <c r="A377" s="57">
        <v>45278</v>
      </c>
      <c r="B377" t="s">
        <v>133</v>
      </c>
      <c r="C377" t="s">
        <v>60</v>
      </c>
      <c r="D377" t="s">
        <v>62</v>
      </c>
      <c r="F377" s="24"/>
      <c r="G377" s="24">
        <v>1500</v>
      </c>
      <c r="H377" t="s">
        <v>385</v>
      </c>
      <c r="I377" s="74">
        <f t="shared" si="5"/>
        <v>0</v>
      </c>
    </row>
    <row r="378" spans="1:9" ht="15" customHeight="1" x14ac:dyDescent="0.25">
      <c r="A378" s="57">
        <v>45290</v>
      </c>
      <c r="B378" t="s">
        <v>204</v>
      </c>
      <c r="C378" t="s">
        <v>160</v>
      </c>
      <c r="D378" t="s">
        <v>67</v>
      </c>
      <c r="F378" s="24">
        <v>17500</v>
      </c>
      <c r="G378" s="24"/>
      <c r="H378" t="s">
        <v>386</v>
      </c>
      <c r="I378" s="74">
        <f t="shared" si="5"/>
        <v>0</v>
      </c>
    </row>
    <row r="379" spans="1:9" ht="15" customHeight="1" x14ac:dyDescent="0.25">
      <c r="A379" s="57">
        <v>45290</v>
      </c>
      <c r="B379" t="s">
        <v>204</v>
      </c>
      <c r="C379" t="s">
        <v>157</v>
      </c>
      <c r="D379" t="s">
        <v>92</v>
      </c>
      <c r="F379" s="24"/>
      <c r="G379" s="24">
        <v>17500</v>
      </c>
      <c r="H379" t="s">
        <v>386</v>
      </c>
      <c r="I379" s="74">
        <f t="shared" si="5"/>
        <v>0</v>
      </c>
    </row>
    <row r="380" spans="1:9" ht="15" customHeight="1" x14ac:dyDescent="0.25">
      <c r="A380" s="57">
        <v>45291</v>
      </c>
      <c r="B380" t="s">
        <v>207</v>
      </c>
      <c r="C380" t="s">
        <v>160</v>
      </c>
      <c r="D380" t="s">
        <v>73</v>
      </c>
      <c r="F380" s="24">
        <v>1100</v>
      </c>
      <c r="G380" s="24"/>
      <c r="H380" t="s">
        <v>387</v>
      </c>
      <c r="I380" s="74">
        <f t="shared" si="5"/>
        <v>0</v>
      </c>
    </row>
    <row r="381" spans="1:9" ht="15" customHeight="1" x14ac:dyDescent="0.25">
      <c r="A381" s="57">
        <v>45291</v>
      </c>
      <c r="B381" t="s">
        <v>207</v>
      </c>
      <c r="C381" t="s">
        <v>157</v>
      </c>
      <c r="D381" t="s">
        <v>100</v>
      </c>
      <c r="F381" s="24"/>
      <c r="G381" s="24">
        <v>1100</v>
      </c>
      <c r="H381" t="s">
        <v>387</v>
      </c>
      <c r="I381" s="74">
        <f t="shared" si="5"/>
        <v>0</v>
      </c>
    </row>
    <row r="382" spans="1:9" ht="15" customHeight="1" x14ac:dyDescent="0.25">
      <c r="A382" s="57">
        <v>45292</v>
      </c>
      <c r="B382" t="s">
        <v>143</v>
      </c>
      <c r="C382" t="s">
        <v>157</v>
      </c>
      <c r="D382" t="s">
        <v>88</v>
      </c>
      <c r="E382" t="s">
        <v>178</v>
      </c>
      <c r="F382" s="24">
        <v>12000</v>
      </c>
      <c r="G382" s="24"/>
      <c r="H382" t="s">
        <v>388</v>
      </c>
      <c r="I382" s="74">
        <f t="shared" si="5"/>
        <v>0</v>
      </c>
    </row>
    <row r="383" spans="1:9" ht="15" customHeight="1" x14ac:dyDescent="0.25">
      <c r="A383" s="57">
        <v>45292</v>
      </c>
      <c r="B383" t="s">
        <v>143</v>
      </c>
      <c r="C383" t="s">
        <v>159</v>
      </c>
      <c r="D383" t="s">
        <v>103</v>
      </c>
      <c r="F383" s="24"/>
      <c r="G383" s="24">
        <v>12000</v>
      </c>
      <c r="H383" t="s">
        <v>388</v>
      </c>
      <c r="I383" s="74">
        <f t="shared" si="5"/>
        <v>0</v>
      </c>
    </row>
    <row r="384" spans="1:9" ht="15" customHeight="1" x14ac:dyDescent="0.25">
      <c r="A384" s="57">
        <v>45293</v>
      </c>
      <c r="B384" t="s">
        <v>181</v>
      </c>
      <c r="C384" t="s">
        <v>157</v>
      </c>
      <c r="D384" t="s">
        <v>90</v>
      </c>
      <c r="F384" s="24">
        <v>25000</v>
      </c>
      <c r="G384" s="24"/>
      <c r="H384" t="s">
        <v>389</v>
      </c>
      <c r="I384" s="74">
        <f t="shared" si="5"/>
        <v>0</v>
      </c>
    </row>
    <row r="385" spans="1:9" ht="15" customHeight="1" x14ac:dyDescent="0.25">
      <c r="A385" s="57">
        <v>45293</v>
      </c>
      <c r="B385" t="s">
        <v>181</v>
      </c>
      <c r="C385" t="s">
        <v>60</v>
      </c>
      <c r="D385" t="s">
        <v>63</v>
      </c>
      <c r="F385" s="24"/>
      <c r="G385" s="24">
        <v>25000</v>
      </c>
      <c r="H385" t="s">
        <v>389</v>
      </c>
      <c r="I385" s="74">
        <f t="shared" si="5"/>
        <v>0</v>
      </c>
    </row>
    <row r="386" spans="1:9" ht="15" customHeight="1" x14ac:dyDescent="0.25">
      <c r="A386" s="57">
        <v>45294</v>
      </c>
      <c r="B386" t="s">
        <v>184</v>
      </c>
      <c r="C386" t="s">
        <v>157</v>
      </c>
      <c r="D386" t="s">
        <v>92</v>
      </c>
      <c r="F386" s="24">
        <v>19000</v>
      </c>
      <c r="G386" s="24"/>
      <c r="H386" t="s">
        <v>390</v>
      </c>
      <c r="I386" s="74">
        <f t="shared" ref="I386:I449" si="6">SUMIF($H:$H,H386,$F:$F)-SUMIF($H:$H,H386,$G:$G)</f>
        <v>0</v>
      </c>
    </row>
    <row r="387" spans="1:9" ht="15" customHeight="1" x14ac:dyDescent="0.25">
      <c r="A387" s="57">
        <v>45294</v>
      </c>
      <c r="B387" t="s">
        <v>184</v>
      </c>
      <c r="C387" t="s">
        <v>158</v>
      </c>
      <c r="D387" t="s">
        <v>89</v>
      </c>
      <c r="F387" s="24"/>
      <c r="G387" s="24">
        <v>19000</v>
      </c>
      <c r="H387" t="s">
        <v>390</v>
      </c>
      <c r="I387" s="74">
        <f t="shared" si="6"/>
        <v>0</v>
      </c>
    </row>
    <row r="388" spans="1:9" ht="15" customHeight="1" x14ac:dyDescent="0.25">
      <c r="A388" s="57">
        <v>45295</v>
      </c>
      <c r="B388" t="s">
        <v>122</v>
      </c>
      <c r="C388" t="s">
        <v>158</v>
      </c>
      <c r="D388" t="s">
        <v>89</v>
      </c>
      <c r="F388" s="24">
        <v>0</v>
      </c>
      <c r="G388" s="24"/>
      <c r="H388" t="s">
        <v>391</v>
      </c>
      <c r="I388" s="74">
        <f t="shared" si="6"/>
        <v>0</v>
      </c>
    </row>
    <row r="389" spans="1:9" ht="15" customHeight="1" x14ac:dyDescent="0.25">
      <c r="A389" s="57">
        <v>45295</v>
      </c>
      <c r="B389" t="s">
        <v>122</v>
      </c>
      <c r="C389" t="s">
        <v>157</v>
      </c>
      <c r="D389" t="s">
        <v>88</v>
      </c>
      <c r="E389" t="s">
        <v>188</v>
      </c>
      <c r="F389" s="24"/>
      <c r="G389" s="24">
        <v>0</v>
      </c>
      <c r="H389" t="s">
        <v>391</v>
      </c>
      <c r="I389" s="74">
        <f t="shared" si="6"/>
        <v>0</v>
      </c>
    </row>
    <row r="390" spans="1:9" ht="15" customHeight="1" x14ac:dyDescent="0.25">
      <c r="A390" s="57">
        <v>45296</v>
      </c>
      <c r="B390" t="s">
        <v>115</v>
      </c>
      <c r="C390" t="s">
        <v>157</v>
      </c>
      <c r="D390" t="s">
        <v>88</v>
      </c>
      <c r="E390" t="s">
        <v>190</v>
      </c>
      <c r="F390" s="24">
        <v>11000</v>
      </c>
      <c r="G390" s="24"/>
      <c r="H390" t="s">
        <v>392</v>
      </c>
      <c r="I390" s="74">
        <f t="shared" si="6"/>
        <v>0</v>
      </c>
    </row>
    <row r="391" spans="1:9" ht="15" customHeight="1" x14ac:dyDescent="0.25">
      <c r="A391" s="57">
        <v>45296</v>
      </c>
      <c r="B391" t="s">
        <v>115</v>
      </c>
      <c r="C391" t="s">
        <v>60</v>
      </c>
      <c r="D391" t="s">
        <v>63</v>
      </c>
      <c r="F391" s="24"/>
      <c r="G391" s="24">
        <v>11000</v>
      </c>
      <c r="H391" t="s">
        <v>392</v>
      </c>
      <c r="I391" s="74">
        <f t="shared" si="6"/>
        <v>0</v>
      </c>
    </row>
    <row r="392" spans="1:9" ht="15" customHeight="1" x14ac:dyDescent="0.25">
      <c r="A392" s="57">
        <v>45297</v>
      </c>
      <c r="B392" t="s">
        <v>113</v>
      </c>
      <c r="C392" t="s">
        <v>157</v>
      </c>
      <c r="D392" t="s">
        <v>88</v>
      </c>
      <c r="E392" t="s">
        <v>190</v>
      </c>
      <c r="F392" s="24">
        <v>5000</v>
      </c>
      <c r="G392" s="24"/>
      <c r="H392" t="s">
        <v>393</v>
      </c>
      <c r="I392" s="74">
        <f t="shared" si="6"/>
        <v>0</v>
      </c>
    </row>
    <row r="393" spans="1:9" ht="15" customHeight="1" x14ac:dyDescent="0.25">
      <c r="A393" s="57">
        <v>45297</v>
      </c>
      <c r="B393" t="s">
        <v>113</v>
      </c>
      <c r="C393" t="s">
        <v>60</v>
      </c>
      <c r="D393" t="s">
        <v>61</v>
      </c>
      <c r="F393" s="24"/>
      <c r="G393" s="24">
        <v>5000</v>
      </c>
      <c r="H393" t="s">
        <v>393</v>
      </c>
      <c r="I393" s="74">
        <f t="shared" si="6"/>
        <v>0</v>
      </c>
    </row>
    <row r="394" spans="1:9" ht="15" customHeight="1" x14ac:dyDescent="0.25">
      <c r="A394" s="57">
        <v>45298</v>
      </c>
      <c r="B394" t="s">
        <v>194</v>
      </c>
      <c r="C394" t="s">
        <v>157</v>
      </c>
      <c r="D394" t="s">
        <v>90</v>
      </c>
      <c r="F394" s="24">
        <v>6000</v>
      </c>
      <c r="G394" s="24"/>
      <c r="H394" t="s">
        <v>394</v>
      </c>
      <c r="I394" s="74">
        <f t="shared" si="6"/>
        <v>0</v>
      </c>
    </row>
    <row r="395" spans="1:9" ht="15" customHeight="1" x14ac:dyDescent="0.25">
      <c r="A395" s="57">
        <v>45298</v>
      </c>
      <c r="B395" t="s">
        <v>194</v>
      </c>
      <c r="C395" t="s">
        <v>60</v>
      </c>
      <c r="D395" t="s">
        <v>64</v>
      </c>
      <c r="F395" s="24"/>
      <c r="G395" s="24">
        <v>6000</v>
      </c>
      <c r="H395" t="s">
        <v>394</v>
      </c>
      <c r="I395" s="74">
        <f t="shared" si="6"/>
        <v>0</v>
      </c>
    </row>
    <row r="396" spans="1:9" ht="15" customHeight="1" x14ac:dyDescent="0.25">
      <c r="A396" s="57">
        <v>45299</v>
      </c>
      <c r="B396" t="s">
        <v>114</v>
      </c>
      <c r="C396" t="s">
        <v>157</v>
      </c>
      <c r="D396" t="s">
        <v>88</v>
      </c>
      <c r="E396" t="s">
        <v>190</v>
      </c>
      <c r="F396" s="24">
        <v>24000</v>
      </c>
      <c r="G396" s="24"/>
      <c r="H396" t="s">
        <v>395</v>
      </c>
      <c r="I396" s="74">
        <f t="shared" si="6"/>
        <v>0</v>
      </c>
    </row>
    <row r="397" spans="1:9" ht="15" customHeight="1" x14ac:dyDescent="0.25">
      <c r="A397" s="57">
        <v>45299</v>
      </c>
      <c r="B397" t="s">
        <v>114</v>
      </c>
      <c r="C397" t="s">
        <v>157</v>
      </c>
      <c r="D397" t="s">
        <v>90</v>
      </c>
      <c r="F397" s="24"/>
      <c r="G397" s="24">
        <v>24000</v>
      </c>
      <c r="H397" t="s">
        <v>395</v>
      </c>
      <c r="I397" s="74">
        <f t="shared" si="6"/>
        <v>0</v>
      </c>
    </row>
    <row r="398" spans="1:9" ht="15" customHeight="1" x14ac:dyDescent="0.25">
      <c r="A398" s="57">
        <v>45300</v>
      </c>
      <c r="B398" t="s">
        <v>118</v>
      </c>
      <c r="C398" t="s">
        <v>160</v>
      </c>
      <c r="D398" t="s">
        <v>77</v>
      </c>
      <c r="F398" s="24">
        <v>5000</v>
      </c>
      <c r="G398" s="24"/>
      <c r="H398" t="s">
        <v>396</v>
      </c>
      <c r="I398" s="74">
        <f t="shared" si="6"/>
        <v>0</v>
      </c>
    </row>
    <row r="399" spans="1:9" ht="15" customHeight="1" x14ac:dyDescent="0.25">
      <c r="A399" s="57">
        <v>45300</v>
      </c>
      <c r="B399" t="s">
        <v>118</v>
      </c>
      <c r="C399" t="s">
        <v>157</v>
      </c>
      <c r="D399" t="s">
        <v>88</v>
      </c>
      <c r="E399" t="s">
        <v>188</v>
      </c>
      <c r="F399" s="24"/>
      <c r="G399" s="24">
        <v>5000</v>
      </c>
      <c r="H399" t="s">
        <v>396</v>
      </c>
      <c r="I399" s="74">
        <f t="shared" si="6"/>
        <v>0</v>
      </c>
    </row>
    <row r="400" spans="1:9" ht="15" customHeight="1" x14ac:dyDescent="0.25">
      <c r="A400" s="57">
        <v>45301</v>
      </c>
      <c r="B400" t="s">
        <v>119</v>
      </c>
      <c r="C400" t="s">
        <v>160</v>
      </c>
      <c r="D400" t="s">
        <v>72</v>
      </c>
      <c r="F400" s="24">
        <v>4500</v>
      </c>
      <c r="G400" s="24"/>
      <c r="H400" t="s">
        <v>397</v>
      </c>
      <c r="I400" s="74">
        <f t="shared" si="6"/>
        <v>0</v>
      </c>
    </row>
    <row r="401" spans="1:9" ht="15" customHeight="1" x14ac:dyDescent="0.25">
      <c r="A401" s="57">
        <v>45301</v>
      </c>
      <c r="B401" t="s">
        <v>119</v>
      </c>
      <c r="C401" t="s">
        <v>157</v>
      </c>
      <c r="D401" t="s">
        <v>88</v>
      </c>
      <c r="E401" t="s">
        <v>188</v>
      </c>
      <c r="F401" s="24"/>
      <c r="G401" s="24">
        <v>4500</v>
      </c>
      <c r="H401" t="s">
        <v>397</v>
      </c>
      <c r="I401" s="74">
        <f t="shared" si="6"/>
        <v>0</v>
      </c>
    </row>
    <row r="402" spans="1:9" ht="15" customHeight="1" x14ac:dyDescent="0.25">
      <c r="A402" s="57">
        <v>45302</v>
      </c>
      <c r="B402" t="s">
        <v>120</v>
      </c>
      <c r="C402" t="s">
        <v>160</v>
      </c>
      <c r="D402" t="s">
        <v>81</v>
      </c>
      <c r="F402" s="24">
        <v>1000</v>
      </c>
      <c r="G402" s="24"/>
      <c r="H402" t="s">
        <v>398</v>
      </c>
      <c r="I402" s="74">
        <f t="shared" si="6"/>
        <v>0</v>
      </c>
    </row>
    <row r="403" spans="1:9" ht="15" customHeight="1" x14ac:dyDescent="0.25">
      <c r="A403" s="57">
        <v>45302</v>
      </c>
      <c r="B403" t="s">
        <v>120</v>
      </c>
      <c r="C403" t="s">
        <v>157</v>
      </c>
      <c r="D403" t="s">
        <v>88</v>
      </c>
      <c r="E403" t="s">
        <v>188</v>
      </c>
      <c r="F403" s="24"/>
      <c r="G403" s="24">
        <v>1000</v>
      </c>
      <c r="H403" t="s">
        <v>398</v>
      </c>
      <c r="I403" s="74">
        <f t="shared" si="6"/>
        <v>0</v>
      </c>
    </row>
    <row r="404" spans="1:9" ht="15" customHeight="1" x14ac:dyDescent="0.25">
      <c r="A404" s="57">
        <v>45303</v>
      </c>
      <c r="B404" t="s">
        <v>121</v>
      </c>
      <c r="C404" t="s">
        <v>160</v>
      </c>
      <c r="D404" t="s">
        <v>71</v>
      </c>
      <c r="F404" s="24">
        <v>1000</v>
      </c>
      <c r="G404" s="24"/>
      <c r="H404" t="s">
        <v>399</v>
      </c>
      <c r="I404" s="74">
        <f t="shared" si="6"/>
        <v>0</v>
      </c>
    </row>
    <row r="405" spans="1:9" ht="15" customHeight="1" x14ac:dyDescent="0.25">
      <c r="A405" s="57">
        <v>45303</v>
      </c>
      <c r="B405" t="s">
        <v>121</v>
      </c>
      <c r="C405" t="s">
        <v>157</v>
      </c>
      <c r="D405" t="s">
        <v>88</v>
      </c>
      <c r="E405" t="s">
        <v>188</v>
      </c>
      <c r="F405" s="24"/>
      <c r="G405" s="24">
        <v>1000</v>
      </c>
      <c r="H405" t="s">
        <v>399</v>
      </c>
      <c r="I405" s="74">
        <f t="shared" si="6"/>
        <v>0</v>
      </c>
    </row>
    <row r="406" spans="1:9" ht="15" customHeight="1" x14ac:dyDescent="0.25">
      <c r="A406" s="57">
        <v>45304</v>
      </c>
      <c r="B406" t="s">
        <v>123</v>
      </c>
      <c r="C406" t="s">
        <v>160</v>
      </c>
      <c r="D406" t="s">
        <v>80</v>
      </c>
      <c r="F406" s="24">
        <v>1000</v>
      </c>
      <c r="G406" s="24"/>
      <c r="H406" t="s">
        <v>400</v>
      </c>
      <c r="I406" s="74">
        <f t="shared" si="6"/>
        <v>0</v>
      </c>
    </row>
    <row r="407" spans="1:9" ht="15" customHeight="1" x14ac:dyDescent="0.25">
      <c r="A407" s="57">
        <v>45304</v>
      </c>
      <c r="B407" t="s">
        <v>123</v>
      </c>
      <c r="C407" t="s">
        <v>157</v>
      </c>
      <c r="D407" t="s">
        <v>88</v>
      </c>
      <c r="E407" t="s">
        <v>188</v>
      </c>
      <c r="F407" s="24"/>
      <c r="G407" s="24">
        <v>1000</v>
      </c>
      <c r="H407" t="s">
        <v>400</v>
      </c>
      <c r="I407" s="74">
        <f t="shared" si="6"/>
        <v>0</v>
      </c>
    </row>
    <row r="408" spans="1:9" ht="15" customHeight="1" x14ac:dyDescent="0.25">
      <c r="A408" s="57">
        <v>45305</v>
      </c>
      <c r="B408" t="s">
        <v>128</v>
      </c>
      <c r="C408" t="s">
        <v>160</v>
      </c>
      <c r="D408" t="s">
        <v>75</v>
      </c>
      <c r="F408" s="24">
        <v>1500</v>
      </c>
      <c r="G408" s="24"/>
      <c r="H408" t="s">
        <v>401</v>
      </c>
      <c r="I408" s="74">
        <f t="shared" si="6"/>
        <v>0</v>
      </c>
    </row>
    <row r="409" spans="1:9" ht="15" customHeight="1" x14ac:dyDescent="0.25">
      <c r="A409" s="57">
        <v>45305</v>
      </c>
      <c r="B409" t="s">
        <v>128</v>
      </c>
      <c r="C409" t="s">
        <v>157</v>
      </c>
      <c r="D409" t="s">
        <v>88</v>
      </c>
      <c r="E409" t="s">
        <v>188</v>
      </c>
      <c r="F409" s="24"/>
      <c r="G409" s="24">
        <v>1500</v>
      </c>
      <c r="H409" t="s">
        <v>401</v>
      </c>
      <c r="I409" s="74">
        <f t="shared" si="6"/>
        <v>0</v>
      </c>
    </row>
    <row r="410" spans="1:9" ht="15" customHeight="1" x14ac:dyDescent="0.25">
      <c r="A410" s="57">
        <v>45317</v>
      </c>
      <c r="B410" t="s">
        <v>204</v>
      </c>
      <c r="C410" t="s">
        <v>160</v>
      </c>
      <c r="D410" t="s">
        <v>67</v>
      </c>
      <c r="F410" s="24">
        <v>16000</v>
      </c>
      <c r="G410" s="24"/>
      <c r="H410" t="s">
        <v>402</v>
      </c>
      <c r="I410" s="74">
        <f t="shared" si="6"/>
        <v>0</v>
      </c>
    </row>
    <row r="411" spans="1:9" ht="15" customHeight="1" x14ac:dyDescent="0.25">
      <c r="A411" s="57">
        <v>45317</v>
      </c>
      <c r="B411" t="s">
        <v>204</v>
      </c>
      <c r="C411" t="s">
        <v>157</v>
      </c>
      <c r="D411" t="s">
        <v>92</v>
      </c>
      <c r="F411" s="24"/>
      <c r="G411" s="24">
        <v>16000</v>
      </c>
      <c r="H411" t="s">
        <v>402</v>
      </c>
      <c r="I411" s="74">
        <f t="shared" si="6"/>
        <v>0</v>
      </c>
    </row>
    <row r="412" spans="1:9" ht="15" customHeight="1" x14ac:dyDescent="0.25">
      <c r="A412" s="57">
        <v>45318</v>
      </c>
      <c r="B412" t="s">
        <v>207</v>
      </c>
      <c r="C412" t="s">
        <v>160</v>
      </c>
      <c r="D412" t="s">
        <v>73</v>
      </c>
      <c r="F412" s="24">
        <v>600</v>
      </c>
      <c r="G412" s="24"/>
      <c r="H412" t="s">
        <v>403</v>
      </c>
      <c r="I412" s="74">
        <f t="shared" si="6"/>
        <v>0</v>
      </c>
    </row>
    <row r="413" spans="1:9" ht="15" customHeight="1" x14ac:dyDescent="0.25">
      <c r="A413" s="57">
        <v>45318</v>
      </c>
      <c r="B413" t="s">
        <v>207</v>
      </c>
      <c r="C413" t="s">
        <v>157</v>
      </c>
      <c r="D413" t="s">
        <v>100</v>
      </c>
      <c r="F413" s="24"/>
      <c r="G413" s="24">
        <v>600</v>
      </c>
      <c r="H413" t="s">
        <v>403</v>
      </c>
      <c r="I413" s="74">
        <f t="shared" si="6"/>
        <v>0</v>
      </c>
    </row>
    <row r="414" spans="1:9" ht="15" customHeight="1" x14ac:dyDescent="0.25">
      <c r="A414" s="57">
        <v>45324</v>
      </c>
      <c r="B414" t="s">
        <v>181</v>
      </c>
      <c r="C414" t="s">
        <v>157</v>
      </c>
      <c r="D414" t="s">
        <v>90</v>
      </c>
      <c r="F414" s="24">
        <v>18000</v>
      </c>
      <c r="G414" s="24"/>
      <c r="H414" t="s">
        <v>404</v>
      </c>
      <c r="I414" s="74">
        <f t="shared" si="6"/>
        <v>0</v>
      </c>
    </row>
    <row r="415" spans="1:9" ht="15" customHeight="1" x14ac:dyDescent="0.25">
      <c r="A415" s="57">
        <v>45324</v>
      </c>
      <c r="B415" t="s">
        <v>181</v>
      </c>
      <c r="C415" t="s">
        <v>60</v>
      </c>
      <c r="D415" t="s">
        <v>63</v>
      </c>
      <c r="F415" s="24"/>
      <c r="G415" s="24">
        <v>18000</v>
      </c>
      <c r="H415" t="s">
        <v>404</v>
      </c>
      <c r="I415" s="74">
        <f t="shared" si="6"/>
        <v>0</v>
      </c>
    </row>
    <row r="416" spans="1:9" ht="15" customHeight="1" x14ac:dyDescent="0.25">
      <c r="A416" s="57">
        <v>45325</v>
      </c>
      <c r="B416" t="s">
        <v>184</v>
      </c>
      <c r="C416" t="s">
        <v>157</v>
      </c>
      <c r="D416" t="s">
        <v>92</v>
      </c>
      <c r="F416" s="24">
        <v>14000</v>
      </c>
      <c r="G416" s="24"/>
      <c r="H416" t="s">
        <v>405</v>
      </c>
      <c r="I416" s="74">
        <f t="shared" si="6"/>
        <v>0</v>
      </c>
    </row>
    <row r="417" spans="1:9" ht="15" customHeight="1" x14ac:dyDescent="0.25">
      <c r="A417" s="57">
        <v>45325</v>
      </c>
      <c r="B417" t="s">
        <v>184</v>
      </c>
      <c r="C417" t="s">
        <v>158</v>
      </c>
      <c r="D417" t="s">
        <v>89</v>
      </c>
      <c r="F417" s="24"/>
      <c r="G417" s="24">
        <v>14000</v>
      </c>
      <c r="H417" t="s">
        <v>405</v>
      </c>
      <c r="I417" s="74">
        <f t="shared" si="6"/>
        <v>0</v>
      </c>
    </row>
    <row r="418" spans="1:9" ht="15" customHeight="1" x14ac:dyDescent="0.25">
      <c r="A418" s="57">
        <v>45326</v>
      </c>
      <c r="B418" t="s">
        <v>122</v>
      </c>
      <c r="C418" t="s">
        <v>158</v>
      </c>
      <c r="D418" t="s">
        <v>89</v>
      </c>
      <c r="F418" s="24">
        <v>0</v>
      </c>
      <c r="G418" s="24"/>
      <c r="H418" t="s">
        <v>406</v>
      </c>
      <c r="I418" s="74">
        <f t="shared" si="6"/>
        <v>0</v>
      </c>
    </row>
    <row r="419" spans="1:9" ht="15" customHeight="1" x14ac:dyDescent="0.25">
      <c r="A419" s="57">
        <v>45326</v>
      </c>
      <c r="B419" t="s">
        <v>122</v>
      </c>
      <c r="C419" t="s">
        <v>157</v>
      </c>
      <c r="D419" t="s">
        <v>88</v>
      </c>
      <c r="E419" t="s">
        <v>188</v>
      </c>
      <c r="F419" s="24"/>
      <c r="G419" s="24">
        <v>0</v>
      </c>
      <c r="H419" t="s">
        <v>406</v>
      </c>
      <c r="I419" s="74">
        <f t="shared" si="6"/>
        <v>0</v>
      </c>
    </row>
    <row r="420" spans="1:9" ht="15" customHeight="1" x14ac:dyDescent="0.25">
      <c r="A420" s="57">
        <v>45327</v>
      </c>
      <c r="B420" t="s">
        <v>115</v>
      </c>
      <c r="C420" t="s">
        <v>157</v>
      </c>
      <c r="D420" t="s">
        <v>88</v>
      </c>
      <c r="E420" t="s">
        <v>190</v>
      </c>
      <c r="F420" s="24">
        <v>10000</v>
      </c>
      <c r="G420" s="24"/>
      <c r="H420" t="s">
        <v>407</v>
      </c>
      <c r="I420" s="74">
        <f t="shared" si="6"/>
        <v>0</v>
      </c>
    </row>
    <row r="421" spans="1:9" ht="15" customHeight="1" x14ac:dyDescent="0.25">
      <c r="A421" s="57">
        <v>45327</v>
      </c>
      <c r="B421" t="s">
        <v>115</v>
      </c>
      <c r="C421" t="s">
        <v>60</v>
      </c>
      <c r="D421" t="s">
        <v>63</v>
      </c>
      <c r="F421" s="24"/>
      <c r="G421" s="24">
        <v>10000</v>
      </c>
      <c r="H421" t="s">
        <v>407</v>
      </c>
      <c r="I421" s="74">
        <f t="shared" si="6"/>
        <v>0</v>
      </c>
    </row>
    <row r="422" spans="1:9" ht="15" customHeight="1" x14ac:dyDescent="0.25">
      <c r="A422" s="57">
        <v>45328</v>
      </c>
      <c r="B422" t="s">
        <v>113</v>
      </c>
      <c r="C422" t="s">
        <v>157</v>
      </c>
      <c r="D422" t="s">
        <v>88</v>
      </c>
      <c r="E422" t="s">
        <v>190</v>
      </c>
      <c r="F422" s="24">
        <v>4000</v>
      </c>
      <c r="G422" s="24"/>
      <c r="H422" t="s">
        <v>408</v>
      </c>
      <c r="I422" s="74">
        <f t="shared" si="6"/>
        <v>0</v>
      </c>
    </row>
    <row r="423" spans="1:9" ht="15" customHeight="1" x14ac:dyDescent="0.25">
      <c r="A423" s="57">
        <v>45328</v>
      </c>
      <c r="B423" t="s">
        <v>113</v>
      </c>
      <c r="C423" t="s">
        <v>60</v>
      </c>
      <c r="D423" t="s">
        <v>61</v>
      </c>
      <c r="F423" s="24"/>
      <c r="G423" s="24">
        <v>4000</v>
      </c>
      <c r="H423" t="s">
        <v>408</v>
      </c>
      <c r="I423" s="74">
        <f t="shared" si="6"/>
        <v>0</v>
      </c>
    </row>
    <row r="424" spans="1:9" ht="15" customHeight="1" x14ac:dyDescent="0.25">
      <c r="A424" s="57">
        <v>45329</v>
      </c>
      <c r="B424" t="s">
        <v>194</v>
      </c>
      <c r="C424" t="s">
        <v>157</v>
      </c>
      <c r="D424" t="s">
        <v>90</v>
      </c>
      <c r="F424" s="24">
        <v>9000</v>
      </c>
      <c r="G424" s="24"/>
      <c r="H424" t="s">
        <v>409</v>
      </c>
      <c r="I424" s="74">
        <f t="shared" si="6"/>
        <v>0</v>
      </c>
    </row>
    <row r="425" spans="1:9" ht="15" customHeight="1" x14ac:dyDescent="0.25">
      <c r="A425" s="57">
        <v>45329</v>
      </c>
      <c r="B425" t="s">
        <v>194</v>
      </c>
      <c r="C425" t="s">
        <v>60</v>
      </c>
      <c r="D425" t="s">
        <v>64</v>
      </c>
      <c r="F425" s="24"/>
      <c r="G425" s="24">
        <v>9000</v>
      </c>
      <c r="H425" t="s">
        <v>409</v>
      </c>
      <c r="I425" s="74">
        <f t="shared" si="6"/>
        <v>0</v>
      </c>
    </row>
    <row r="426" spans="1:9" ht="15" customHeight="1" x14ac:dyDescent="0.25">
      <c r="A426" s="57">
        <v>45330</v>
      </c>
      <c r="B426" t="s">
        <v>114</v>
      </c>
      <c r="C426" t="s">
        <v>157</v>
      </c>
      <c r="D426" t="s">
        <v>88</v>
      </c>
      <c r="E426" t="s">
        <v>190</v>
      </c>
      <c r="F426" s="24">
        <v>23000</v>
      </c>
      <c r="G426" s="24"/>
      <c r="H426" t="s">
        <v>410</v>
      </c>
      <c r="I426" s="74">
        <f t="shared" si="6"/>
        <v>0</v>
      </c>
    </row>
    <row r="427" spans="1:9" ht="15" customHeight="1" x14ac:dyDescent="0.25">
      <c r="A427" s="57">
        <v>45330</v>
      </c>
      <c r="B427" t="s">
        <v>114</v>
      </c>
      <c r="C427" t="s">
        <v>157</v>
      </c>
      <c r="D427" t="s">
        <v>90</v>
      </c>
      <c r="F427" s="24"/>
      <c r="G427" s="24">
        <v>23000</v>
      </c>
      <c r="H427" t="s">
        <v>410</v>
      </c>
      <c r="I427" s="74">
        <f t="shared" si="6"/>
        <v>0</v>
      </c>
    </row>
    <row r="428" spans="1:9" ht="15" customHeight="1" x14ac:dyDescent="0.25">
      <c r="A428" s="57">
        <v>45331</v>
      </c>
      <c r="B428" t="s">
        <v>118</v>
      </c>
      <c r="C428" t="s">
        <v>160</v>
      </c>
      <c r="D428" t="s">
        <v>77</v>
      </c>
      <c r="F428" s="24">
        <v>6000</v>
      </c>
      <c r="G428" s="24"/>
      <c r="H428" t="s">
        <v>411</v>
      </c>
      <c r="I428" s="74">
        <f t="shared" si="6"/>
        <v>0</v>
      </c>
    </row>
    <row r="429" spans="1:9" ht="15" customHeight="1" x14ac:dyDescent="0.25">
      <c r="A429" s="57">
        <v>45331</v>
      </c>
      <c r="B429" t="s">
        <v>118</v>
      </c>
      <c r="C429" t="s">
        <v>157</v>
      </c>
      <c r="D429" t="s">
        <v>88</v>
      </c>
      <c r="E429" t="s">
        <v>188</v>
      </c>
      <c r="F429" s="24"/>
      <c r="G429" s="24">
        <v>6000</v>
      </c>
      <c r="H429" t="s">
        <v>411</v>
      </c>
      <c r="I429" s="74">
        <f t="shared" si="6"/>
        <v>0</v>
      </c>
    </row>
    <row r="430" spans="1:9" ht="15" customHeight="1" x14ac:dyDescent="0.25">
      <c r="A430" s="57">
        <v>45332</v>
      </c>
      <c r="B430" t="s">
        <v>119</v>
      </c>
      <c r="C430" t="s">
        <v>160</v>
      </c>
      <c r="D430" t="s">
        <v>72</v>
      </c>
      <c r="F430" s="24">
        <v>5500</v>
      </c>
      <c r="G430" s="24"/>
      <c r="H430" t="s">
        <v>412</v>
      </c>
      <c r="I430" s="74">
        <f t="shared" si="6"/>
        <v>0</v>
      </c>
    </row>
    <row r="431" spans="1:9" ht="15" customHeight="1" x14ac:dyDescent="0.25">
      <c r="A431" s="57">
        <v>45332</v>
      </c>
      <c r="B431" t="s">
        <v>119</v>
      </c>
      <c r="C431" t="s">
        <v>157</v>
      </c>
      <c r="D431" t="s">
        <v>88</v>
      </c>
      <c r="E431" t="s">
        <v>188</v>
      </c>
      <c r="F431" s="24"/>
      <c r="G431" s="24">
        <v>5500</v>
      </c>
      <c r="H431" t="s">
        <v>412</v>
      </c>
      <c r="I431" s="74">
        <f t="shared" si="6"/>
        <v>0</v>
      </c>
    </row>
    <row r="432" spans="1:9" ht="15" customHeight="1" x14ac:dyDescent="0.25">
      <c r="A432" s="57">
        <v>45333</v>
      </c>
      <c r="B432" t="s">
        <v>120</v>
      </c>
      <c r="C432" t="s">
        <v>160</v>
      </c>
      <c r="D432" t="s">
        <v>81</v>
      </c>
      <c r="F432" s="24">
        <v>2500</v>
      </c>
      <c r="G432" s="24"/>
      <c r="H432" t="s">
        <v>413</v>
      </c>
      <c r="I432" s="74">
        <f t="shared" si="6"/>
        <v>0</v>
      </c>
    </row>
    <row r="433" spans="1:9" ht="15" customHeight="1" x14ac:dyDescent="0.25">
      <c r="A433" s="57">
        <v>45333</v>
      </c>
      <c r="B433" t="s">
        <v>120</v>
      </c>
      <c r="C433" t="s">
        <v>157</v>
      </c>
      <c r="D433" t="s">
        <v>88</v>
      </c>
      <c r="E433" t="s">
        <v>188</v>
      </c>
      <c r="F433" s="24"/>
      <c r="G433" s="24">
        <v>2500</v>
      </c>
      <c r="H433" t="s">
        <v>413</v>
      </c>
      <c r="I433" s="74">
        <f t="shared" si="6"/>
        <v>0</v>
      </c>
    </row>
    <row r="434" spans="1:9" ht="15" customHeight="1" x14ac:dyDescent="0.25">
      <c r="A434" s="57">
        <v>45334</v>
      </c>
      <c r="B434" t="s">
        <v>121</v>
      </c>
      <c r="C434" t="s">
        <v>160</v>
      </c>
      <c r="D434" t="s">
        <v>71</v>
      </c>
      <c r="F434" s="24">
        <v>1500</v>
      </c>
      <c r="G434" s="24"/>
      <c r="H434" t="s">
        <v>414</v>
      </c>
      <c r="I434" s="74">
        <f t="shared" si="6"/>
        <v>0</v>
      </c>
    </row>
    <row r="435" spans="1:9" ht="15" customHeight="1" x14ac:dyDescent="0.25">
      <c r="A435" s="57">
        <v>45334</v>
      </c>
      <c r="B435" t="s">
        <v>121</v>
      </c>
      <c r="C435" t="s">
        <v>157</v>
      </c>
      <c r="D435" t="s">
        <v>88</v>
      </c>
      <c r="E435" t="s">
        <v>188</v>
      </c>
      <c r="F435" s="24"/>
      <c r="G435" s="24">
        <v>1500</v>
      </c>
      <c r="H435" t="s">
        <v>414</v>
      </c>
      <c r="I435" s="74">
        <f t="shared" si="6"/>
        <v>0</v>
      </c>
    </row>
    <row r="436" spans="1:9" ht="15" customHeight="1" x14ac:dyDescent="0.25">
      <c r="A436" s="57">
        <v>45335</v>
      </c>
      <c r="B436" t="s">
        <v>124</v>
      </c>
      <c r="C436" t="s">
        <v>160</v>
      </c>
      <c r="D436" t="s">
        <v>74</v>
      </c>
      <c r="F436" s="24">
        <v>1000</v>
      </c>
      <c r="G436" s="24"/>
      <c r="H436" t="s">
        <v>415</v>
      </c>
      <c r="I436" s="74">
        <f t="shared" si="6"/>
        <v>0</v>
      </c>
    </row>
    <row r="437" spans="1:9" ht="15" customHeight="1" x14ac:dyDescent="0.25">
      <c r="A437" s="57">
        <v>45335</v>
      </c>
      <c r="B437" t="s">
        <v>124</v>
      </c>
      <c r="C437" t="s">
        <v>157</v>
      </c>
      <c r="D437" t="s">
        <v>88</v>
      </c>
      <c r="E437" t="s">
        <v>188</v>
      </c>
      <c r="F437" s="24"/>
      <c r="G437" s="24">
        <v>1000</v>
      </c>
      <c r="H437" t="s">
        <v>415</v>
      </c>
      <c r="I437" s="74">
        <f t="shared" si="6"/>
        <v>0</v>
      </c>
    </row>
    <row r="438" spans="1:9" ht="15" customHeight="1" x14ac:dyDescent="0.25">
      <c r="A438" s="57">
        <v>45336</v>
      </c>
      <c r="B438" t="s">
        <v>128</v>
      </c>
      <c r="C438" t="s">
        <v>160</v>
      </c>
      <c r="D438" t="s">
        <v>75</v>
      </c>
      <c r="F438" s="24">
        <v>500</v>
      </c>
      <c r="G438" s="24"/>
      <c r="H438" t="s">
        <v>416</v>
      </c>
      <c r="I438" s="74">
        <f t="shared" si="6"/>
        <v>0</v>
      </c>
    </row>
    <row r="439" spans="1:9" ht="15" customHeight="1" x14ac:dyDescent="0.25">
      <c r="A439" s="57">
        <v>45336</v>
      </c>
      <c r="B439" t="s">
        <v>128</v>
      </c>
      <c r="C439" t="s">
        <v>157</v>
      </c>
      <c r="D439" t="s">
        <v>88</v>
      </c>
      <c r="E439" t="s">
        <v>188</v>
      </c>
      <c r="F439" s="24"/>
      <c r="G439" s="24">
        <v>500</v>
      </c>
      <c r="H439" t="s">
        <v>416</v>
      </c>
      <c r="I439" s="74">
        <f t="shared" si="6"/>
        <v>0</v>
      </c>
    </row>
    <row r="440" spans="1:9" ht="15" customHeight="1" x14ac:dyDescent="0.25">
      <c r="A440" s="57">
        <v>45348</v>
      </c>
      <c r="B440" t="s">
        <v>204</v>
      </c>
      <c r="C440" t="s">
        <v>160</v>
      </c>
      <c r="D440" t="s">
        <v>67</v>
      </c>
      <c r="F440" s="24">
        <v>12000</v>
      </c>
      <c r="G440" s="24"/>
      <c r="H440" t="s">
        <v>417</v>
      </c>
      <c r="I440" s="74">
        <f t="shared" si="6"/>
        <v>0</v>
      </c>
    </row>
    <row r="441" spans="1:9" ht="15" customHeight="1" x14ac:dyDescent="0.25">
      <c r="A441" s="57">
        <v>45348</v>
      </c>
      <c r="B441" t="s">
        <v>204</v>
      </c>
      <c r="C441" t="s">
        <v>157</v>
      </c>
      <c r="D441" t="s">
        <v>92</v>
      </c>
      <c r="F441" s="24"/>
      <c r="G441" s="24">
        <v>12000</v>
      </c>
      <c r="H441" t="s">
        <v>417</v>
      </c>
      <c r="I441" s="74">
        <f t="shared" si="6"/>
        <v>0</v>
      </c>
    </row>
    <row r="442" spans="1:9" ht="15" customHeight="1" x14ac:dyDescent="0.25">
      <c r="A442" s="57">
        <v>45349</v>
      </c>
      <c r="B442" t="s">
        <v>207</v>
      </c>
      <c r="C442" t="s">
        <v>160</v>
      </c>
      <c r="D442" t="s">
        <v>73</v>
      </c>
      <c r="F442" s="24">
        <v>700</v>
      </c>
      <c r="G442" s="24"/>
      <c r="H442" t="s">
        <v>418</v>
      </c>
      <c r="I442" s="74">
        <f t="shared" si="6"/>
        <v>0</v>
      </c>
    </row>
    <row r="443" spans="1:9" ht="15" customHeight="1" x14ac:dyDescent="0.25">
      <c r="A443" s="57">
        <v>45349</v>
      </c>
      <c r="B443" t="s">
        <v>207</v>
      </c>
      <c r="C443" t="s">
        <v>157</v>
      </c>
      <c r="D443" t="s">
        <v>100</v>
      </c>
      <c r="F443" s="24"/>
      <c r="G443" s="24">
        <v>700</v>
      </c>
      <c r="H443" t="s">
        <v>418</v>
      </c>
      <c r="I443" s="74">
        <f t="shared" si="6"/>
        <v>0</v>
      </c>
    </row>
    <row r="444" spans="1:9" ht="15" customHeight="1" x14ac:dyDescent="0.25">
      <c r="A444" s="57">
        <v>45353</v>
      </c>
      <c r="B444" t="s">
        <v>141</v>
      </c>
      <c r="C444" t="s">
        <v>157</v>
      </c>
      <c r="D444" t="s">
        <v>88</v>
      </c>
      <c r="E444" t="s">
        <v>178</v>
      </c>
      <c r="F444" s="24">
        <v>15000</v>
      </c>
      <c r="G444" s="24"/>
      <c r="H444" t="s">
        <v>419</v>
      </c>
      <c r="I444" s="74">
        <f t="shared" si="6"/>
        <v>0</v>
      </c>
    </row>
    <row r="445" spans="1:9" ht="15" customHeight="1" x14ac:dyDescent="0.25">
      <c r="A445" s="57">
        <v>45353</v>
      </c>
      <c r="B445" t="s">
        <v>141</v>
      </c>
      <c r="C445" t="s">
        <v>158</v>
      </c>
      <c r="D445" t="s">
        <v>97</v>
      </c>
      <c r="F445" s="24"/>
      <c r="G445" s="24">
        <v>15000</v>
      </c>
      <c r="H445" t="s">
        <v>419</v>
      </c>
      <c r="I445" s="74">
        <f t="shared" si="6"/>
        <v>0</v>
      </c>
    </row>
    <row r="446" spans="1:9" ht="15" customHeight="1" x14ac:dyDescent="0.25">
      <c r="A446" s="57">
        <v>45353</v>
      </c>
      <c r="B446" t="s">
        <v>181</v>
      </c>
      <c r="C446" t="s">
        <v>157</v>
      </c>
      <c r="D446" t="s">
        <v>90</v>
      </c>
      <c r="F446" s="24">
        <v>24000</v>
      </c>
      <c r="G446" s="24"/>
      <c r="H446" t="s">
        <v>420</v>
      </c>
      <c r="I446" s="74">
        <f t="shared" si="6"/>
        <v>0</v>
      </c>
    </row>
    <row r="447" spans="1:9" ht="15" customHeight="1" x14ac:dyDescent="0.25">
      <c r="A447" s="57">
        <v>45353</v>
      </c>
      <c r="B447" t="s">
        <v>181</v>
      </c>
      <c r="C447" t="s">
        <v>60</v>
      </c>
      <c r="D447" t="s">
        <v>63</v>
      </c>
      <c r="F447" s="24"/>
      <c r="G447" s="24">
        <v>24000</v>
      </c>
      <c r="H447" t="s">
        <v>420</v>
      </c>
      <c r="I447" s="74">
        <f t="shared" si="6"/>
        <v>0</v>
      </c>
    </row>
    <row r="448" spans="1:9" ht="15" customHeight="1" x14ac:dyDescent="0.25">
      <c r="A448" s="57">
        <v>45354</v>
      </c>
      <c r="B448" t="s">
        <v>184</v>
      </c>
      <c r="C448" t="s">
        <v>157</v>
      </c>
      <c r="D448" t="s">
        <v>92</v>
      </c>
      <c r="F448" s="24">
        <v>16500</v>
      </c>
      <c r="G448" s="24"/>
      <c r="H448" t="s">
        <v>421</v>
      </c>
      <c r="I448" s="74">
        <f t="shared" si="6"/>
        <v>0</v>
      </c>
    </row>
    <row r="449" spans="1:9" ht="15" customHeight="1" x14ac:dyDescent="0.25">
      <c r="A449" s="57">
        <v>45354</v>
      </c>
      <c r="B449" t="s">
        <v>184</v>
      </c>
      <c r="C449" t="s">
        <v>158</v>
      </c>
      <c r="D449" t="s">
        <v>89</v>
      </c>
      <c r="F449" s="24"/>
      <c r="G449" s="24">
        <v>16500</v>
      </c>
      <c r="H449" t="s">
        <v>421</v>
      </c>
      <c r="I449" s="74">
        <f t="shared" si="6"/>
        <v>0</v>
      </c>
    </row>
    <row r="450" spans="1:9" ht="15" customHeight="1" x14ac:dyDescent="0.25">
      <c r="A450" s="57">
        <v>45355</v>
      </c>
      <c r="B450" t="s">
        <v>122</v>
      </c>
      <c r="C450" t="s">
        <v>158</v>
      </c>
      <c r="D450" t="s">
        <v>89</v>
      </c>
      <c r="F450" s="24">
        <v>0</v>
      </c>
      <c r="G450" s="24"/>
      <c r="H450" t="s">
        <v>422</v>
      </c>
      <c r="I450" s="74">
        <f t="shared" ref="I450:I513" si="7">SUMIF($H:$H,H450,$F:$F)-SUMIF($H:$H,H450,$G:$G)</f>
        <v>0</v>
      </c>
    </row>
    <row r="451" spans="1:9" ht="15" customHeight="1" x14ac:dyDescent="0.25">
      <c r="A451" s="57">
        <v>45355</v>
      </c>
      <c r="B451" t="s">
        <v>122</v>
      </c>
      <c r="C451" t="s">
        <v>157</v>
      </c>
      <c r="D451" t="s">
        <v>88</v>
      </c>
      <c r="E451" t="s">
        <v>188</v>
      </c>
      <c r="F451" s="24"/>
      <c r="G451" s="24">
        <v>0</v>
      </c>
      <c r="H451" t="s">
        <v>422</v>
      </c>
      <c r="I451" s="74">
        <f t="shared" si="7"/>
        <v>0</v>
      </c>
    </row>
    <row r="452" spans="1:9" ht="15" customHeight="1" x14ac:dyDescent="0.25">
      <c r="A452" s="57">
        <v>45356</v>
      </c>
      <c r="B452" t="s">
        <v>115</v>
      </c>
      <c r="C452" t="s">
        <v>157</v>
      </c>
      <c r="D452" t="s">
        <v>88</v>
      </c>
      <c r="E452" t="s">
        <v>190</v>
      </c>
      <c r="F452" s="24">
        <v>14000</v>
      </c>
      <c r="G452" s="24"/>
      <c r="H452" t="s">
        <v>423</v>
      </c>
      <c r="I452" s="74">
        <f t="shared" si="7"/>
        <v>0</v>
      </c>
    </row>
    <row r="453" spans="1:9" ht="15" customHeight="1" x14ac:dyDescent="0.25">
      <c r="A453" s="57">
        <v>45356</v>
      </c>
      <c r="B453" t="s">
        <v>115</v>
      </c>
      <c r="C453" t="s">
        <v>60</v>
      </c>
      <c r="D453" t="s">
        <v>63</v>
      </c>
      <c r="F453" s="24"/>
      <c r="G453" s="24">
        <v>14000</v>
      </c>
      <c r="H453" t="s">
        <v>423</v>
      </c>
      <c r="I453" s="74">
        <f t="shared" si="7"/>
        <v>0</v>
      </c>
    </row>
    <row r="454" spans="1:9" ht="15" customHeight="1" x14ac:dyDescent="0.25">
      <c r="A454" s="57">
        <v>45357</v>
      </c>
      <c r="B454" t="s">
        <v>113</v>
      </c>
      <c r="C454" t="s">
        <v>157</v>
      </c>
      <c r="D454" t="s">
        <v>88</v>
      </c>
      <c r="E454" t="s">
        <v>190</v>
      </c>
      <c r="F454" s="24">
        <v>3500</v>
      </c>
      <c r="G454" s="24"/>
      <c r="H454" t="s">
        <v>424</v>
      </c>
      <c r="I454" s="74">
        <f t="shared" si="7"/>
        <v>0</v>
      </c>
    </row>
    <row r="455" spans="1:9" ht="15" customHeight="1" x14ac:dyDescent="0.25">
      <c r="A455" s="57">
        <v>45357</v>
      </c>
      <c r="B455" t="s">
        <v>113</v>
      </c>
      <c r="C455" t="s">
        <v>60</v>
      </c>
      <c r="D455" t="s">
        <v>61</v>
      </c>
      <c r="F455" s="24"/>
      <c r="G455" s="24">
        <v>3500</v>
      </c>
      <c r="H455" t="s">
        <v>424</v>
      </c>
      <c r="I455" s="74">
        <f t="shared" si="7"/>
        <v>0</v>
      </c>
    </row>
    <row r="456" spans="1:9" ht="15" customHeight="1" x14ac:dyDescent="0.25">
      <c r="A456" s="57">
        <v>45358</v>
      </c>
      <c r="B456" t="s">
        <v>194</v>
      </c>
      <c r="C456" t="s">
        <v>157</v>
      </c>
      <c r="D456" t="s">
        <v>90</v>
      </c>
      <c r="F456" s="24">
        <v>10000</v>
      </c>
      <c r="G456" s="24"/>
      <c r="H456" t="s">
        <v>425</v>
      </c>
      <c r="I456" s="74">
        <f t="shared" si="7"/>
        <v>0</v>
      </c>
    </row>
    <row r="457" spans="1:9" ht="15" customHeight="1" x14ac:dyDescent="0.25">
      <c r="A457" s="57">
        <v>45358</v>
      </c>
      <c r="B457" t="s">
        <v>194</v>
      </c>
      <c r="C457" t="s">
        <v>60</v>
      </c>
      <c r="D457" t="s">
        <v>64</v>
      </c>
      <c r="F457" s="24"/>
      <c r="G457" s="24">
        <v>10000</v>
      </c>
      <c r="H457" t="s">
        <v>425</v>
      </c>
      <c r="I457" s="74">
        <f t="shared" si="7"/>
        <v>0</v>
      </c>
    </row>
    <row r="458" spans="1:9" ht="15" customHeight="1" x14ac:dyDescent="0.25">
      <c r="A458" s="57">
        <v>45359</v>
      </c>
      <c r="B458" t="s">
        <v>114</v>
      </c>
      <c r="C458" t="s">
        <v>157</v>
      </c>
      <c r="D458" t="s">
        <v>88</v>
      </c>
      <c r="E458" t="s">
        <v>190</v>
      </c>
      <c r="F458" s="24">
        <v>26000</v>
      </c>
      <c r="G458" s="24"/>
      <c r="H458" t="s">
        <v>426</v>
      </c>
      <c r="I458" s="74">
        <f t="shared" si="7"/>
        <v>0</v>
      </c>
    </row>
    <row r="459" spans="1:9" ht="15" customHeight="1" x14ac:dyDescent="0.25">
      <c r="A459" s="57">
        <v>45359</v>
      </c>
      <c r="B459" t="s">
        <v>114</v>
      </c>
      <c r="C459" t="s">
        <v>157</v>
      </c>
      <c r="D459" t="s">
        <v>90</v>
      </c>
      <c r="F459" s="24"/>
      <c r="G459" s="24">
        <v>26000</v>
      </c>
      <c r="H459" t="s">
        <v>426</v>
      </c>
      <c r="I459" s="74">
        <f t="shared" si="7"/>
        <v>0</v>
      </c>
    </row>
    <row r="460" spans="1:9" ht="15" customHeight="1" x14ac:dyDescent="0.25">
      <c r="A460" s="57">
        <v>45360</v>
      </c>
      <c r="B460" t="s">
        <v>118</v>
      </c>
      <c r="C460" t="s">
        <v>160</v>
      </c>
      <c r="D460" t="s">
        <v>77</v>
      </c>
      <c r="F460" s="24">
        <v>6000</v>
      </c>
      <c r="G460" s="24"/>
      <c r="H460" t="s">
        <v>427</v>
      </c>
      <c r="I460" s="74">
        <f t="shared" si="7"/>
        <v>0</v>
      </c>
    </row>
    <row r="461" spans="1:9" ht="15" customHeight="1" x14ac:dyDescent="0.25">
      <c r="A461" s="57">
        <v>45360</v>
      </c>
      <c r="B461" t="s">
        <v>118</v>
      </c>
      <c r="C461" t="s">
        <v>157</v>
      </c>
      <c r="D461" t="s">
        <v>88</v>
      </c>
      <c r="E461" t="s">
        <v>188</v>
      </c>
      <c r="F461" s="24"/>
      <c r="G461" s="24">
        <v>6000</v>
      </c>
      <c r="H461" t="s">
        <v>427</v>
      </c>
      <c r="I461" s="74">
        <f t="shared" si="7"/>
        <v>0</v>
      </c>
    </row>
    <row r="462" spans="1:9" ht="15" customHeight="1" x14ac:dyDescent="0.25">
      <c r="A462" s="57">
        <v>45361</v>
      </c>
      <c r="B462" t="s">
        <v>119</v>
      </c>
      <c r="C462" t="s">
        <v>160</v>
      </c>
      <c r="D462" t="s">
        <v>72</v>
      </c>
      <c r="F462" s="24">
        <v>6000</v>
      </c>
      <c r="G462" s="24"/>
      <c r="H462" t="s">
        <v>428</v>
      </c>
      <c r="I462" s="74">
        <f t="shared" si="7"/>
        <v>0</v>
      </c>
    </row>
    <row r="463" spans="1:9" ht="15" customHeight="1" x14ac:dyDescent="0.25">
      <c r="A463" s="57">
        <v>45361</v>
      </c>
      <c r="B463" t="s">
        <v>119</v>
      </c>
      <c r="C463" t="s">
        <v>157</v>
      </c>
      <c r="D463" t="s">
        <v>88</v>
      </c>
      <c r="E463" t="s">
        <v>188</v>
      </c>
      <c r="F463" s="24"/>
      <c r="G463" s="24">
        <v>6000</v>
      </c>
      <c r="H463" t="s">
        <v>428</v>
      </c>
      <c r="I463" s="74">
        <f t="shared" si="7"/>
        <v>0</v>
      </c>
    </row>
    <row r="464" spans="1:9" ht="15" customHeight="1" x14ac:dyDescent="0.25">
      <c r="A464" s="57">
        <v>45362</v>
      </c>
      <c r="B464" t="s">
        <v>120</v>
      </c>
      <c r="C464" t="s">
        <v>160</v>
      </c>
      <c r="D464" t="s">
        <v>81</v>
      </c>
      <c r="F464" s="24">
        <v>2500</v>
      </c>
      <c r="G464" s="24"/>
      <c r="H464" t="s">
        <v>429</v>
      </c>
      <c r="I464" s="74">
        <f t="shared" si="7"/>
        <v>0</v>
      </c>
    </row>
    <row r="465" spans="1:9" ht="15" customHeight="1" x14ac:dyDescent="0.25">
      <c r="A465" s="57">
        <v>45362</v>
      </c>
      <c r="B465" t="s">
        <v>120</v>
      </c>
      <c r="C465" t="s">
        <v>157</v>
      </c>
      <c r="D465" t="s">
        <v>88</v>
      </c>
      <c r="E465" t="s">
        <v>188</v>
      </c>
      <c r="F465" s="24"/>
      <c r="G465" s="24">
        <v>2500</v>
      </c>
      <c r="H465" t="s">
        <v>429</v>
      </c>
      <c r="I465" s="74">
        <f t="shared" si="7"/>
        <v>0</v>
      </c>
    </row>
    <row r="466" spans="1:9" ht="15" customHeight="1" x14ac:dyDescent="0.25">
      <c r="A466" s="57">
        <v>45363</v>
      </c>
      <c r="B466" t="s">
        <v>121</v>
      </c>
      <c r="C466" t="s">
        <v>160</v>
      </c>
      <c r="D466" t="s">
        <v>71</v>
      </c>
      <c r="F466" s="24">
        <v>1000</v>
      </c>
      <c r="G466" s="24"/>
      <c r="H466" t="s">
        <v>430</v>
      </c>
      <c r="I466" s="74">
        <f t="shared" si="7"/>
        <v>0</v>
      </c>
    </row>
    <row r="467" spans="1:9" ht="15" customHeight="1" x14ac:dyDescent="0.25">
      <c r="A467" s="57">
        <v>45363</v>
      </c>
      <c r="B467" t="s">
        <v>121</v>
      </c>
      <c r="C467" t="s">
        <v>157</v>
      </c>
      <c r="D467" t="s">
        <v>88</v>
      </c>
      <c r="E467" t="s">
        <v>188</v>
      </c>
      <c r="F467" s="24"/>
      <c r="G467" s="24">
        <v>1000</v>
      </c>
      <c r="H467" t="s">
        <v>430</v>
      </c>
      <c r="I467" s="74">
        <f t="shared" si="7"/>
        <v>0</v>
      </c>
    </row>
    <row r="468" spans="1:9" ht="15" customHeight="1" x14ac:dyDescent="0.25">
      <c r="A468" s="57">
        <v>45364</v>
      </c>
      <c r="B468" t="s">
        <v>125</v>
      </c>
      <c r="C468" t="s">
        <v>160</v>
      </c>
      <c r="D468" t="s">
        <v>76</v>
      </c>
      <c r="F468" s="24">
        <v>800</v>
      </c>
      <c r="G468" s="24"/>
      <c r="H468" t="s">
        <v>431</v>
      </c>
      <c r="I468" s="74">
        <f t="shared" si="7"/>
        <v>0</v>
      </c>
    </row>
    <row r="469" spans="1:9" ht="15" customHeight="1" x14ac:dyDescent="0.25">
      <c r="A469" s="57">
        <v>45364</v>
      </c>
      <c r="B469" t="s">
        <v>125</v>
      </c>
      <c r="C469" t="s">
        <v>157</v>
      </c>
      <c r="D469" t="s">
        <v>88</v>
      </c>
      <c r="E469" t="s">
        <v>188</v>
      </c>
      <c r="F469" s="24"/>
      <c r="G469" s="24">
        <v>800</v>
      </c>
      <c r="H469" t="s">
        <v>431</v>
      </c>
      <c r="I469" s="74">
        <f t="shared" si="7"/>
        <v>0</v>
      </c>
    </row>
    <row r="470" spans="1:9" ht="15" customHeight="1" x14ac:dyDescent="0.25">
      <c r="A470" s="57">
        <v>45365</v>
      </c>
      <c r="B470" t="s">
        <v>128</v>
      </c>
      <c r="C470" t="s">
        <v>160</v>
      </c>
      <c r="D470" t="s">
        <v>75</v>
      </c>
      <c r="F470" s="24">
        <v>1000</v>
      </c>
      <c r="G470" s="24"/>
      <c r="H470" t="s">
        <v>432</v>
      </c>
      <c r="I470" s="74">
        <f t="shared" si="7"/>
        <v>0</v>
      </c>
    </row>
    <row r="471" spans="1:9" ht="15" customHeight="1" x14ac:dyDescent="0.25">
      <c r="A471" s="57">
        <v>45365</v>
      </c>
      <c r="B471" t="s">
        <v>128</v>
      </c>
      <c r="C471" t="s">
        <v>157</v>
      </c>
      <c r="D471" t="s">
        <v>88</v>
      </c>
      <c r="E471" t="s">
        <v>188</v>
      </c>
      <c r="F471" s="24"/>
      <c r="G471" s="24">
        <v>1000</v>
      </c>
      <c r="H471" t="s">
        <v>432</v>
      </c>
      <c r="I471" s="74">
        <f t="shared" si="7"/>
        <v>0</v>
      </c>
    </row>
    <row r="472" spans="1:9" ht="15" customHeight="1" x14ac:dyDescent="0.25">
      <c r="A472" s="57">
        <v>45367</v>
      </c>
      <c r="B472" t="s">
        <v>136</v>
      </c>
      <c r="C472" t="s">
        <v>157</v>
      </c>
      <c r="D472" t="s">
        <v>98</v>
      </c>
      <c r="F472" s="24">
        <v>3000</v>
      </c>
      <c r="G472" s="24"/>
      <c r="H472" t="s">
        <v>433</v>
      </c>
      <c r="I472" s="74">
        <f t="shared" si="7"/>
        <v>0</v>
      </c>
    </row>
    <row r="473" spans="1:9" ht="15" customHeight="1" x14ac:dyDescent="0.25">
      <c r="A473" s="57">
        <v>45367</v>
      </c>
      <c r="B473" t="s">
        <v>136</v>
      </c>
      <c r="C473" t="s">
        <v>157</v>
      </c>
      <c r="D473" t="s">
        <v>88</v>
      </c>
      <c r="E473" t="s">
        <v>242</v>
      </c>
      <c r="F473" s="24"/>
      <c r="G473" s="24">
        <v>3000</v>
      </c>
      <c r="H473" t="s">
        <v>433</v>
      </c>
      <c r="I473" s="74">
        <f t="shared" si="7"/>
        <v>0</v>
      </c>
    </row>
    <row r="474" spans="1:9" ht="15" customHeight="1" x14ac:dyDescent="0.25">
      <c r="A474" s="57">
        <v>45369</v>
      </c>
      <c r="B474" t="s">
        <v>133</v>
      </c>
      <c r="C474" t="s">
        <v>157</v>
      </c>
      <c r="D474" t="s">
        <v>88</v>
      </c>
      <c r="E474" t="s">
        <v>243</v>
      </c>
      <c r="F474" s="24">
        <v>1000</v>
      </c>
      <c r="G474" s="24"/>
      <c r="H474" t="s">
        <v>434</v>
      </c>
      <c r="I474" s="74">
        <f t="shared" si="7"/>
        <v>0</v>
      </c>
    </row>
    <row r="475" spans="1:9" ht="15" customHeight="1" x14ac:dyDescent="0.25">
      <c r="A475" s="57">
        <v>45369</v>
      </c>
      <c r="B475" t="s">
        <v>133</v>
      </c>
      <c r="C475" t="s">
        <v>60</v>
      </c>
      <c r="D475" t="s">
        <v>62</v>
      </c>
      <c r="F475" s="24"/>
      <c r="G475" s="24">
        <v>1000</v>
      </c>
      <c r="H475" t="s">
        <v>434</v>
      </c>
      <c r="I475" s="74">
        <f t="shared" si="7"/>
        <v>0</v>
      </c>
    </row>
    <row r="476" spans="1:9" ht="15" customHeight="1" x14ac:dyDescent="0.25">
      <c r="A476" s="57">
        <v>45377</v>
      </c>
      <c r="B476" t="s">
        <v>204</v>
      </c>
      <c r="C476" t="s">
        <v>160</v>
      </c>
      <c r="D476" t="s">
        <v>67</v>
      </c>
      <c r="F476" s="24">
        <v>14500</v>
      </c>
      <c r="G476" s="24"/>
      <c r="H476" t="s">
        <v>435</v>
      </c>
      <c r="I476" s="74">
        <f t="shared" si="7"/>
        <v>0</v>
      </c>
    </row>
    <row r="477" spans="1:9" ht="15" customHeight="1" x14ac:dyDescent="0.25">
      <c r="A477" s="57">
        <v>45377</v>
      </c>
      <c r="B477" t="s">
        <v>204</v>
      </c>
      <c r="C477" t="s">
        <v>157</v>
      </c>
      <c r="D477" t="s">
        <v>92</v>
      </c>
      <c r="F477" s="24"/>
      <c r="G477" s="24">
        <v>14500</v>
      </c>
      <c r="H477" t="s">
        <v>435</v>
      </c>
      <c r="I477" s="74">
        <f t="shared" si="7"/>
        <v>0</v>
      </c>
    </row>
    <row r="478" spans="1:9" ht="15" customHeight="1" x14ac:dyDescent="0.25">
      <c r="A478" s="57">
        <v>45378</v>
      </c>
      <c r="B478" t="s">
        <v>207</v>
      </c>
      <c r="C478" t="s">
        <v>160</v>
      </c>
      <c r="D478" t="s">
        <v>73</v>
      </c>
      <c r="F478" s="24">
        <v>600</v>
      </c>
      <c r="G478" s="24"/>
      <c r="H478" t="s">
        <v>436</v>
      </c>
      <c r="I478" s="74">
        <f t="shared" si="7"/>
        <v>0</v>
      </c>
    </row>
    <row r="479" spans="1:9" ht="15" customHeight="1" x14ac:dyDescent="0.25">
      <c r="A479" s="57">
        <v>45378</v>
      </c>
      <c r="B479" t="s">
        <v>207</v>
      </c>
      <c r="C479" t="s">
        <v>157</v>
      </c>
      <c r="D479" t="s">
        <v>100</v>
      </c>
      <c r="F479" s="24"/>
      <c r="G479" s="24">
        <v>600</v>
      </c>
      <c r="H479" t="s">
        <v>436</v>
      </c>
      <c r="I479" s="74">
        <f t="shared" si="7"/>
        <v>0</v>
      </c>
    </row>
    <row r="480" spans="1:9" ht="15" customHeight="1" x14ac:dyDescent="0.25">
      <c r="A480" s="57">
        <v>45384</v>
      </c>
      <c r="B480" t="s">
        <v>181</v>
      </c>
      <c r="C480" t="s">
        <v>157</v>
      </c>
      <c r="D480" t="s">
        <v>90</v>
      </c>
      <c r="F480" s="24">
        <v>27000</v>
      </c>
      <c r="G480" s="24"/>
      <c r="H480" t="s">
        <v>437</v>
      </c>
      <c r="I480" s="74">
        <f t="shared" si="7"/>
        <v>0</v>
      </c>
    </row>
    <row r="481" spans="1:9" ht="15" customHeight="1" x14ac:dyDescent="0.25">
      <c r="A481" s="57">
        <v>45384</v>
      </c>
      <c r="B481" t="s">
        <v>181</v>
      </c>
      <c r="C481" t="s">
        <v>60</v>
      </c>
      <c r="D481" t="s">
        <v>63</v>
      </c>
      <c r="F481" s="24"/>
      <c r="G481" s="24">
        <v>27000</v>
      </c>
      <c r="H481" t="s">
        <v>437</v>
      </c>
      <c r="I481" s="74">
        <f t="shared" si="7"/>
        <v>0</v>
      </c>
    </row>
    <row r="482" spans="1:9" ht="15" customHeight="1" x14ac:dyDescent="0.25">
      <c r="A482" s="57">
        <v>45385</v>
      </c>
      <c r="B482" t="s">
        <v>184</v>
      </c>
      <c r="C482" t="s">
        <v>157</v>
      </c>
      <c r="D482" t="s">
        <v>92</v>
      </c>
      <c r="F482" s="24">
        <v>20000</v>
      </c>
      <c r="G482" s="24"/>
      <c r="H482" t="s">
        <v>438</v>
      </c>
      <c r="I482" s="74">
        <f t="shared" si="7"/>
        <v>0</v>
      </c>
    </row>
    <row r="483" spans="1:9" ht="15" customHeight="1" x14ac:dyDescent="0.25">
      <c r="A483" s="57">
        <v>45385</v>
      </c>
      <c r="B483" t="s">
        <v>184</v>
      </c>
      <c r="C483" t="s">
        <v>158</v>
      </c>
      <c r="D483" t="s">
        <v>89</v>
      </c>
      <c r="F483" s="24"/>
      <c r="G483" s="24">
        <v>20000</v>
      </c>
      <c r="H483" t="s">
        <v>438</v>
      </c>
      <c r="I483" s="74">
        <f t="shared" si="7"/>
        <v>0</v>
      </c>
    </row>
    <row r="484" spans="1:9" ht="15" customHeight="1" x14ac:dyDescent="0.25">
      <c r="A484" s="57">
        <v>45386</v>
      </c>
      <c r="B484" t="s">
        <v>122</v>
      </c>
      <c r="C484" t="s">
        <v>158</v>
      </c>
      <c r="D484" t="s">
        <v>89</v>
      </c>
      <c r="F484" s="24">
        <v>0</v>
      </c>
      <c r="G484" s="24"/>
      <c r="H484" t="s">
        <v>439</v>
      </c>
      <c r="I484" s="74">
        <f t="shared" si="7"/>
        <v>0</v>
      </c>
    </row>
    <row r="485" spans="1:9" ht="15" customHeight="1" x14ac:dyDescent="0.25">
      <c r="A485" s="57">
        <v>45386</v>
      </c>
      <c r="B485" t="s">
        <v>122</v>
      </c>
      <c r="C485" t="s">
        <v>157</v>
      </c>
      <c r="D485" t="s">
        <v>88</v>
      </c>
      <c r="E485" t="s">
        <v>188</v>
      </c>
      <c r="F485" s="24"/>
      <c r="G485" s="24">
        <v>0</v>
      </c>
      <c r="H485" t="s">
        <v>439</v>
      </c>
      <c r="I485" s="74">
        <f t="shared" si="7"/>
        <v>0</v>
      </c>
    </row>
    <row r="486" spans="1:9" ht="15" customHeight="1" x14ac:dyDescent="0.25">
      <c r="A486" s="57">
        <v>45387</v>
      </c>
      <c r="B486" t="s">
        <v>115</v>
      </c>
      <c r="C486" t="s">
        <v>157</v>
      </c>
      <c r="D486" t="s">
        <v>88</v>
      </c>
      <c r="E486" t="s">
        <v>190</v>
      </c>
      <c r="F486" s="24">
        <v>15000</v>
      </c>
      <c r="G486" s="24"/>
      <c r="H486" t="s">
        <v>440</v>
      </c>
      <c r="I486" s="74">
        <f t="shared" si="7"/>
        <v>0</v>
      </c>
    </row>
    <row r="487" spans="1:9" ht="15" customHeight="1" x14ac:dyDescent="0.25">
      <c r="A487" s="57">
        <v>45387</v>
      </c>
      <c r="B487" t="s">
        <v>115</v>
      </c>
      <c r="C487" t="s">
        <v>60</v>
      </c>
      <c r="D487" t="s">
        <v>63</v>
      </c>
      <c r="F487" s="24"/>
      <c r="G487" s="24">
        <v>15000</v>
      </c>
      <c r="H487" t="s">
        <v>440</v>
      </c>
      <c r="I487" s="74">
        <f t="shared" si="7"/>
        <v>0</v>
      </c>
    </row>
    <row r="488" spans="1:9" ht="15" customHeight="1" x14ac:dyDescent="0.25">
      <c r="A488" s="57">
        <v>45388</v>
      </c>
      <c r="B488" t="s">
        <v>113</v>
      </c>
      <c r="C488" t="s">
        <v>157</v>
      </c>
      <c r="D488" t="s">
        <v>88</v>
      </c>
      <c r="E488" t="s">
        <v>190</v>
      </c>
      <c r="F488" s="24">
        <v>4000</v>
      </c>
      <c r="G488" s="24"/>
      <c r="H488" t="s">
        <v>441</v>
      </c>
      <c r="I488" s="74">
        <f t="shared" si="7"/>
        <v>0</v>
      </c>
    </row>
    <row r="489" spans="1:9" ht="15" customHeight="1" x14ac:dyDescent="0.25">
      <c r="A489" s="57">
        <v>45388</v>
      </c>
      <c r="B489" t="s">
        <v>113</v>
      </c>
      <c r="C489" t="s">
        <v>60</v>
      </c>
      <c r="D489" t="s">
        <v>61</v>
      </c>
      <c r="F489" s="24"/>
      <c r="G489" s="24">
        <v>4000</v>
      </c>
      <c r="H489" t="s">
        <v>441</v>
      </c>
      <c r="I489" s="74">
        <f t="shared" si="7"/>
        <v>0</v>
      </c>
    </row>
    <row r="490" spans="1:9" ht="15" customHeight="1" x14ac:dyDescent="0.25">
      <c r="A490" s="57">
        <v>45389</v>
      </c>
      <c r="B490" t="s">
        <v>194</v>
      </c>
      <c r="C490" t="s">
        <v>157</v>
      </c>
      <c r="D490" t="s">
        <v>90</v>
      </c>
      <c r="F490" s="24">
        <v>9000</v>
      </c>
      <c r="G490" s="24"/>
      <c r="H490" t="s">
        <v>442</v>
      </c>
      <c r="I490" s="74">
        <f t="shared" si="7"/>
        <v>0</v>
      </c>
    </row>
    <row r="491" spans="1:9" ht="15" customHeight="1" x14ac:dyDescent="0.25">
      <c r="A491" s="57">
        <v>45389</v>
      </c>
      <c r="B491" t="s">
        <v>194</v>
      </c>
      <c r="C491" t="s">
        <v>60</v>
      </c>
      <c r="D491" t="s">
        <v>64</v>
      </c>
      <c r="F491" s="24"/>
      <c r="G491" s="24">
        <v>9000</v>
      </c>
      <c r="H491" t="s">
        <v>442</v>
      </c>
      <c r="I491" s="74">
        <f t="shared" si="7"/>
        <v>0</v>
      </c>
    </row>
    <row r="492" spans="1:9" ht="15" customHeight="1" x14ac:dyDescent="0.25">
      <c r="A492" s="57">
        <v>45390</v>
      </c>
      <c r="B492" t="s">
        <v>114</v>
      </c>
      <c r="C492" t="s">
        <v>157</v>
      </c>
      <c r="D492" t="s">
        <v>88</v>
      </c>
      <c r="E492" t="s">
        <v>190</v>
      </c>
      <c r="F492" s="24">
        <v>29000</v>
      </c>
      <c r="G492" s="24"/>
      <c r="H492" t="s">
        <v>443</v>
      </c>
      <c r="I492" s="74">
        <f t="shared" si="7"/>
        <v>0</v>
      </c>
    </row>
    <row r="493" spans="1:9" ht="15" customHeight="1" x14ac:dyDescent="0.25">
      <c r="A493" s="57">
        <v>45390</v>
      </c>
      <c r="B493" t="s">
        <v>114</v>
      </c>
      <c r="C493" t="s">
        <v>157</v>
      </c>
      <c r="D493" t="s">
        <v>90</v>
      </c>
      <c r="F493" s="24"/>
      <c r="G493" s="24">
        <v>29000</v>
      </c>
      <c r="H493" t="s">
        <v>443</v>
      </c>
      <c r="I493" s="74">
        <f t="shared" si="7"/>
        <v>0</v>
      </c>
    </row>
    <row r="494" spans="1:9" ht="15" customHeight="1" x14ac:dyDescent="0.25">
      <c r="A494" s="57">
        <v>45391</v>
      </c>
      <c r="B494" t="s">
        <v>118</v>
      </c>
      <c r="C494" t="s">
        <v>160</v>
      </c>
      <c r="D494" t="s">
        <v>77</v>
      </c>
      <c r="F494" s="24">
        <v>3500</v>
      </c>
      <c r="G494" s="24"/>
      <c r="H494" t="s">
        <v>444</v>
      </c>
      <c r="I494" s="74">
        <f t="shared" si="7"/>
        <v>0</v>
      </c>
    </row>
    <row r="495" spans="1:9" ht="15" customHeight="1" x14ac:dyDescent="0.25">
      <c r="A495" s="57">
        <v>45391</v>
      </c>
      <c r="B495" t="s">
        <v>118</v>
      </c>
      <c r="C495" t="s">
        <v>157</v>
      </c>
      <c r="D495" t="s">
        <v>88</v>
      </c>
      <c r="E495" t="s">
        <v>188</v>
      </c>
      <c r="F495" s="24"/>
      <c r="G495" s="24">
        <v>3500</v>
      </c>
      <c r="H495" t="s">
        <v>444</v>
      </c>
      <c r="I495" s="74">
        <f t="shared" si="7"/>
        <v>0</v>
      </c>
    </row>
    <row r="496" spans="1:9" ht="15" customHeight="1" x14ac:dyDescent="0.25">
      <c r="A496" s="57">
        <v>45392</v>
      </c>
      <c r="B496" t="s">
        <v>119</v>
      </c>
      <c r="C496" t="s">
        <v>160</v>
      </c>
      <c r="D496" t="s">
        <v>72</v>
      </c>
      <c r="F496" s="24">
        <v>6500</v>
      </c>
      <c r="G496" s="24"/>
      <c r="H496" t="s">
        <v>445</v>
      </c>
      <c r="I496" s="74">
        <f t="shared" si="7"/>
        <v>0</v>
      </c>
    </row>
    <row r="497" spans="1:9" ht="15" customHeight="1" x14ac:dyDescent="0.25">
      <c r="A497" s="57">
        <v>45392</v>
      </c>
      <c r="B497" t="s">
        <v>119</v>
      </c>
      <c r="C497" t="s">
        <v>157</v>
      </c>
      <c r="D497" t="s">
        <v>88</v>
      </c>
      <c r="E497" t="s">
        <v>188</v>
      </c>
      <c r="F497" s="24"/>
      <c r="G497" s="24">
        <v>6500</v>
      </c>
      <c r="H497" t="s">
        <v>445</v>
      </c>
      <c r="I497" s="74">
        <f t="shared" si="7"/>
        <v>0</v>
      </c>
    </row>
    <row r="498" spans="1:9" ht="15" customHeight="1" x14ac:dyDescent="0.25">
      <c r="A498" s="57">
        <v>45393</v>
      </c>
      <c r="B498" t="s">
        <v>120</v>
      </c>
      <c r="C498" t="s">
        <v>160</v>
      </c>
      <c r="D498" t="s">
        <v>81</v>
      </c>
      <c r="F498" s="24">
        <v>2000</v>
      </c>
      <c r="G498" s="24"/>
      <c r="H498" t="s">
        <v>446</v>
      </c>
      <c r="I498" s="74">
        <f t="shared" si="7"/>
        <v>0</v>
      </c>
    </row>
    <row r="499" spans="1:9" ht="15" customHeight="1" x14ac:dyDescent="0.25">
      <c r="A499" s="57">
        <v>45393</v>
      </c>
      <c r="B499" t="s">
        <v>120</v>
      </c>
      <c r="C499" t="s">
        <v>157</v>
      </c>
      <c r="D499" t="s">
        <v>88</v>
      </c>
      <c r="E499" t="s">
        <v>188</v>
      </c>
      <c r="F499" s="24"/>
      <c r="G499" s="24">
        <v>2000</v>
      </c>
      <c r="H499" t="s">
        <v>446</v>
      </c>
      <c r="I499" s="74">
        <f t="shared" si="7"/>
        <v>0</v>
      </c>
    </row>
    <row r="500" spans="1:9" ht="15" customHeight="1" x14ac:dyDescent="0.25">
      <c r="A500" s="57">
        <v>45394</v>
      </c>
      <c r="B500" t="s">
        <v>121</v>
      </c>
      <c r="C500" t="s">
        <v>160</v>
      </c>
      <c r="D500" t="s">
        <v>71</v>
      </c>
      <c r="F500" s="24">
        <v>1000</v>
      </c>
      <c r="G500" s="24"/>
      <c r="H500" t="s">
        <v>447</v>
      </c>
      <c r="I500" s="74">
        <f t="shared" si="7"/>
        <v>0</v>
      </c>
    </row>
    <row r="501" spans="1:9" ht="15" customHeight="1" x14ac:dyDescent="0.25">
      <c r="A501" s="57">
        <v>45394</v>
      </c>
      <c r="B501" t="s">
        <v>121</v>
      </c>
      <c r="C501" t="s">
        <v>157</v>
      </c>
      <c r="D501" t="s">
        <v>88</v>
      </c>
      <c r="E501" t="s">
        <v>188</v>
      </c>
      <c r="F501" s="24"/>
      <c r="G501" s="24">
        <v>1000</v>
      </c>
      <c r="H501" t="s">
        <v>447</v>
      </c>
      <c r="I501" s="74">
        <f t="shared" si="7"/>
        <v>0</v>
      </c>
    </row>
    <row r="502" spans="1:9" ht="15" customHeight="1" x14ac:dyDescent="0.25">
      <c r="A502" s="57">
        <v>45395</v>
      </c>
      <c r="B502" t="s">
        <v>126</v>
      </c>
      <c r="C502" t="s">
        <v>160</v>
      </c>
      <c r="D502" t="s">
        <v>79</v>
      </c>
      <c r="F502" s="24">
        <v>2000</v>
      </c>
      <c r="G502" s="24"/>
      <c r="H502" t="s">
        <v>448</v>
      </c>
      <c r="I502" s="74">
        <f t="shared" si="7"/>
        <v>0</v>
      </c>
    </row>
    <row r="503" spans="1:9" ht="15" customHeight="1" x14ac:dyDescent="0.25">
      <c r="A503" s="57">
        <v>45395</v>
      </c>
      <c r="B503" t="s">
        <v>126</v>
      </c>
      <c r="C503" t="s">
        <v>157</v>
      </c>
      <c r="D503" t="s">
        <v>88</v>
      </c>
      <c r="E503" t="s">
        <v>188</v>
      </c>
      <c r="F503" s="24"/>
      <c r="G503" s="24">
        <v>2000</v>
      </c>
      <c r="H503" t="s">
        <v>448</v>
      </c>
      <c r="I503" s="74">
        <f t="shared" si="7"/>
        <v>0</v>
      </c>
    </row>
    <row r="504" spans="1:9" ht="15" customHeight="1" x14ac:dyDescent="0.25">
      <c r="A504" s="57">
        <v>45396</v>
      </c>
      <c r="B504" t="s">
        <v>128</v>
      </c>
      <c r="C504" t="s">
        <v>160</v>
      </c>
      <c r="D504" t="s">
        <v>75</v>
      </c>
      <c r="F504" s="24">
        <v>1000</v>
      </c>
      <c r="G504" s="24"/>
      <c r="H504" t="s">
        <v>449</v>
      </c>
      <c r="I504" s="74">
        <f t="shared" si="7"/>
        <v>0</v>
      </c>
    </row>
    <row r="505" spans="1:9" ht="15" customHeight="1" x14ac:dyDescent="0.25">
      <c r="A505" s="57">
        <v>45396</v>
      </c>
      <c r="B505" t="s">
        <v>128</v>
      </c>
      <c r="C505" t="s">
        <v>157</v>
      </c>
      <c r="D505" t="s">
        <v>88</v>
      </c>
      <c r="E505" t="s">
        <v>188</v>
      </c>
      <c r="F505" s="24"/>
      <c r="G505" s="24">
        <v>1000</v>
      </c>
      <c r="H505" t="s">
        <v>449</v>
      </c>
      <c r="I505" s="74">
        <f t="shared" si="7"/>
        <v>0</v>
      </c>
    </row>
    <row r="506" spans="1:9" ht="15" customHeight="1" x14ac:dyDescent="0.25">
      <c r="A506" s="57">
        <v>45408</v>
      </c>
      <c r="B506" t="s">
        <v>204</v>
      </c>
      <c r="C506" t="s">
        <v>160</v>
      </c>
      <c r="D506" t="s">
        <v>67</v>
      </c>
      <c r="F506" s="24">
        <v>17000</v>
      </c>
      <c r="G506" s="24"/>
      <c r="H506" t="s">
        <v>450</v>
      </c>
      <c r="I506" s="74">
        <f t="shared" si="7"/>
        <v>0</v>
      </c>
    </row>
    <row r="507" spans="1:9" ht="15" customHeight="1" x14ac:dyDescent="0.25">
      <c r="A507" s="57">
        <v>45408</v>
      </c>
      <c r="B507" t="s">
        <v>204</v>
      </c>
      <c r="C507" t="s">
        <v>157</v>
      </c>
      <c r="D507" t="s">
        <v>92</v>
      </c>
      <c r="F507" s="24"/>
      <c r="G507" s="24">
        <v>17000</v>
      </c>
      <c r="H507" t="s">
        <v>450</v>
      </c>
      <c r="I507" s="74">
        <f t="shared" si="7"/>
        <v>0</v>
      </c>
    </row>
    <row r="508" spans="1:9" ht="15" customHeight="1" x14ac:dyDescent="0.25">
      <c r="A508" s="57">
        <v>45409</v>
      </c>
      <c r="B508" t="s">
        <v>207</v>
      </c>
      <c r="C508" t="s">
        <v>160</v>
      </c>
      <c r="D508" t="s">
        <v>73</v>
      </c>
      <c r="F508" s="24">
        <v>600</v>
      </c>
      <c r="G508" s="24"/>
      <c r="H508" t="s">
        <v>451</v>
      </c>
      <c r="I508" s="74">
        <f t="shared" si="7"/>
        <v>0</v>
      </c>
    </row>
    <row r="509" spans="1:9" ht="15" customHeight="1" x14ac:dyDescent="0.25">
      <c r="A509" s="57">
        <v>45409</v>
      </c>
      <c r="B509" t="s">
        <v>207</v>
      </c>
      <c r="C509" t="s">
        <v>157</v>
      </c>
      <c r="D509" t="s">
        <v>100</v>
      </c>
      <c r="F509" s="24"/>
      <c r="G509" s="24">
        <v>600</v>
      </c>
      <c r="H509" t="s">
        <v>451</v>
      </c>
      <c r="I509" s="74">
        <f t="shared" si="7"/>
        <v>0</v>
      </c>
    </row>
    <row r="510" spans="1:9" ht="15" customHeight="1" x14ac:dyDescent="0.25">
      <c r="A510" s="57">
        <v>45414</v>
      </c>
      <c r="B510" t="s">
        <v>181</v>
      </c>
      <c r="C510" t="s">
        <v>157</v>
      </c>
      <c r="D510" t="s">
        <v>90</v>
      </c>
      <c r="F510" s="24">
        <v>18000</v>
      </c>
      <c r="G510" s="24"/>
      <c r="H510" t="s">
        <v>452</v>
      </c>
      <c r="I510" s="74">
        <f t="shared" si="7"/>
        <v>0</v>
      </c>
    </row>
    <row r="511" spans="1:9" ht="15" customHeight="1" x14ac:dyDescent="0.25">
      <c r="A511" s="57">
        <v>45414</v>
      </c>
      <c r="B511" t="s">
        <v>181</v>
      </c>
      <c r="C511" t="s">
        <v>60</v>
      </c>
      <c r="D511" t="s">
        <v>63</v>
      </c>
      <c r="F511" s="24"/>
      <c r="G511" s="24">
        <v>18000</v>
      </c>
      <c r="H511" t="s">
        <v>452</v>
      </c>
      <c r="I511" s="74">
        <f t="shared" si="7"/>
        <v>0</v>
      </c>
    </row>
    <row r="512" spans="1:9" ht="15" customHeight="1" x14ac:dyDescent="0.25">
      <c r="A512" s="57">
        <v>45415</v>
      </c>
      <c r="B512" t="s">
        <v>184</v>
      </c>
      <c r="C512" t="s">
        <v>157</v>
      </c>
      <c r="D512" t="s">
        <v>92</v>
      </c>
      <c r="F512" s="24">
        <v>16500</v>
      </c>
      <c r="G512" s="24"/>
      <c r="H512" t="s">
        <v>453</v>
      </c>
      <c r="I512" s="74">
        <f t="shared" si="7"/>
        <v>0</v>
      </c>
    </row>
    <row r="513" spans="1:9" ht="15" customHeight="1" x14ac:dyDescent="0.25">
      <c r="A513" s="57">
        <v>45415</v>
      </c>
      <c r="B513" t="s">
        <v>184</v>
      </c>
      <c r="C513" t="s">
        <v>158</v>
      </c>
      <c r="D513" t="s">
        <v>89</v>
      </c>
      <c r="F513" s="24"/>
      <c r="G513" s="24">
        <v>16500</v>
      </c>
      <c r="H513" t="s">
        <v>453</v>
      </c>
      <c r="I513" s="74">
        <f t="shared" si="7"/>
        <v>0</v>
      </c>
    </row>
    <row r="514" spans="1:9" ht="15" customHeight="1" x14ac:dyDescent="0.25">
      <c r="A514" s="57">
        <v>45416</v>
      </c>
      <c r="B514" t="s">
        <v>122</v>
      </c>
      <c r="C514" t="s">
        <v>158</v>
      </c>
      <c r="D514" t="s">
        <v>89</v>
      </c>
      <c r="F514" s="24">
        <v>0</v>
      </c>
      <c r="G514" s="24"/>
      <c r="H514" t="s">
        <v>454</v>
      </c>
      <c r="I514" s="74">
        <f t="shared" ref="I514:I577" si="8">SUMIF($H:$H,H514,$F:$F)-SUMIF($H:$H,H514,$G:$G)</f>
        <v>0</v>
      </c>
    </row>
    <row r="515" spans="1:9" ht="15" customHeight="1" x14ac:dyDescent="0.25">
      <c r="A515" s="57">
        <v>45416</v>
      </c>
      <c r="B515" t="s">
        <v>122</v>
      </c>
      <c r="C515" t="s">
        <v>157</v>
      </c>
      <c r="D515" t="s">
        <v>88</v>
      </c>
      <c r="E515" t="s">
        <v>188</v>
      </c>
      <c r="F515" s="24"/>
      <c r="G515" s="24">
        <v>0</v>
      </c>
      <c r="H515" t="s">
        <v>454</v>
      </c>
      <c r="I515" s="74">
        <f t="shared" si="8"/>
        <v>0</v>
      </c>
    </row>
    <row r="516" spans="1:9" ht="15" customHeight="1" x14ac:dyDescent="0.25">
      <c r="A516" s="57">
        <v>45417</v>
      </c>
      <c r="B516" t="s">
        <v>115</v>
      </c>
      <c r="C516" t="s">
        <v>157</v>
      </c>
      <c r="D516" t="s">
        <v>88</v>
      </c>
      <c r="E516" t="s">
        <v>190</v>
      </c>
      <c r="F516" s="24">
        <v>15000</v>
      </c>
      <c r="G516" s="24"/>
      <c r="H516" t="s">
        <v>455</v>
      </c>
      <c r="I516" s="74">
        <f t="shared" si="8"/>
        <v>0</v>
      </c>
    </row>
    <row r="517" spans="1:9" ht="15" customHeight="1" x14ac:dyDescent="0.25">
      <c r="A517" s="57">
        <v>45417</v>
      </c>
      <c r="B517" t="s">
        <v>115</v>
      </c>
      <c r="C517" t="s">
        <v>60</v>
      </c>
      <c r="D517" t="s">
        <v>63</v>
      </c>
      <c r="F517" s="24"/>
      <c r="G517" s="24">
        <v>15000</v>
      </c>
      <c r="H517" t="s">
        <v>455</v>
      </c>
      <c r="I517" s="74">
        <f t="shared" si="8"/>
        <v>0</v>
      </c>
    </row>
    <row r="518" spans="1:9" ht="15" customHeight="1" x14ac:dyDescent="0.25">
      <c r="A518" s="57">
        <v>45418</v>
      </c>
      <c r="B518" t="s">
        <v>113</v>
      </c>
      <c r="C518" t="s">
        <v>157</v>
      </c>
      <c r="D518" t="s">
        <v>88</v>
      </c>
      <c r="E518" t="s">
        <v>190</v>
      </c>
      <c r="F518" s="24">
        <v>5500</v>
      </c>
      <c r="G518" s="24"/>
      <c r="H518" t="s">
        <v>456</v>
      </c>
      <c r="I518" s="74">
        <f t="shared" si="8"/>
        <v>0</v>
      </c>
    </row>
    <row r="519" spans="1:9" ht="15" customHeight="1" x14ac:dyDescent="0.25">
      <c r="A519" s="57">
        <v>45418</v>
      </c>
      <c r="B519" t="s">
        <v>113</v>
      </c>
      <c r="C519" t="s">
        <v>60</v>
      </c>
      <c r="D519" t="s">
        <v>61</v>
      </c>
      <c r="F519" s="24"/>
      <c r="G519" s="24">
        <v>5500</v>
      </c>
      <c r="H519" t="s">
        <v>456</v>
      </c>
      <c r="I519" s="74">
        <f t="shared" si="8"/>
        <v>0</v>
      </c>
    </row>
    <row r="520" spans="1:9" ht="15" customHeight="1" x14ac:dyDescent="0.25">
      <c r="A520" s="57">
        <v>45419</v>
      </c>
      <c r="B520" t="s">
        <v>194</v>
      </c>
      <c r="C520" t="s">
        <v>157</v>
      </c>
      <c r="D520" t="s">
        <v>90</v>
      </c>
      <c r="F520" s="24">
        <v>8000</v>
      </c>
      <c r="G520" s="24"/>
      <c r="H520" t="s">
        <v>457</v>
      </c>
      <c r="I520" s="74">
        <f t="shared" si="8"/>
        <v>0</v>
      </c>
    </row>
    <row r="521" spans="1:9" ht="15" customHeight="1" x14ac:dyDescent="0.25">
      <c r="A521" s="57">
        <v>45419</v>
      </c>
      <c r="B521" t="s">
        <v>194</v>
      </c>
      <c r="C521" t="s">
        <v>60</v>
      </c>
      <c r="D521" t="s">
        <v>64</v>
      </c>
      <c r="F521" s="24"/>
      <c r="G521" s="24">
        <v>8000</v>
      </c>
      <c r="H521" t="s">
        <v>457</v>
      </c>
      <c r="I521" s="74">
        <f t="shared" si="8"/>
        <v>0</v>
      </c>
    </row>
    <row r="522" spans="1:9" ht="15" customHeight="1" x14ac:dyDescent="0.25">
      <c r="A522" s="57">
        <v>45420</v>
      </c>
      <c r="B522" t="s">
        <v>114</v>
      </c>
      <c r="C522" t="s">
        <v>157</v>
      </c>
      <c r="D522" t="s">
        <v>88</v>
      </c>
      <c r="E522" t="s">
        <v>190</v>
      </c>
      <c r="F522" s="24">
        <v>28000</v>
      </c>
      <c r="G522" s="24"/>
      <c r="H522" t="s">
        <v>458</v>
      </c>
      <c r="I522" s="74">
        <f t="shared" si="8"/>
        <v>0</v>
      </c>
    </row>
    <row r="523" spans="1:9" ht="15" customHeight="1" x14ac:dyDescent="0.25">
      <c r="A523" s="57">
        <v>45420</v>
      </c>
      <c r="B523" t="s">
        <v>114</v>
      </c>
      <c r="C523" t="s">
        <v>157</v>
      </c>
      <c r="D523" t="s">
        <v>90</v>
      </c>
      <c r="F523" s="24"/>
      <c r="G523" s="24">
        <v>28000</v>
      </c>
      <c r="H523" t="s">
        <v>458</v>
      </c>
      <c r="I523" s="74">
        <f t="shared" si="8"/>
        <v>0</v>
      </c>
    </row>
    <row r="524" spans="1:9" ht="15" customHeight="1" x14ac:dyDescent="0.25">
      <c r="A524" s="57">
        <v>45421</v>
      </c>
      <c r="B524" t="s">
        <v>118</v>
      </c>
      <c r="C524" t="s">
        <v>160</v>
      </c>
      <c r="D524" t="s">
        <v>77</v>
      </c>
      <c r="F524" s="24">
        <v>5000</v>
      </c>
      <c r="G524" s="24"/>
      <c r="H524" t="s">
        <v>459</v>
      </c>
      <c r="I524" s="74">
        <f t="shared" si="8"/>
        <v>0</v>
      </c>
    </row>
    <row r="525" spans="1:9" ht="15" customHeight="1" x14ac:dyDescent="0.25">
      <c r="A525" s="57">
        <v>45421</v>
      </c>
      <c r="B525" t="s">
        <v>118</v>
      </c>
      <c r="C525" t="s">
        <v>157</v>
      </c>
      <c r="D525" t="s">
        <v>88</v>
      </c>
      <c r="E525" t="s">
        <v>188</v>
      </c>
      <c r="F525" s="24"/>
      <c r="G525" s="24">
        <v>5000</v>
      </c>
      <c r="H525" t="s">
        <v>459</v>
      </c>
      <c r="I525" s="74">
        <f t="shared" si="8"/>
        <v>0</v>
      </c>
    </row>
    <row r="526" spans="1:9" ht="15" customHeight="1" x14ac:dyDescent="0.25">
      <c r="A526" s="57">
        <v>45422</v>
      </c>
      <c r="B526" t="s">
        <v>119</v>
      </c>
      <c r="C526" t="s">
        <v>160</v>
      </c>
      <c r="D526" t="s">
        <v>72</v>
      </c>
      <c r="F526" s="24">
        <v>6000</v>
      </c>
      <c r="G526" s="24"/>
      <c r="H526" t="s">
        <v>460</v>
      </c>
      <c r="I526" s="74">
        <f t="shared" si="8"/>
        <v>0</v>
      </c>
    </row>
    <row r="527" spans="1:9" ht="15" customHeight="1" x14ac:dyDescent="0.25">
      <c r="A527" s="57">
        <v>45422</v>
      </c>
      <c r="B527" t="s">
        <v>119</v>
      </c>
      <c r="C527" t="s">
        <v>157</v>
      </c>
      <c r="D527" t="s">
        <v>88</v>
      </c>
      <c r="E527" t="s">
        <v>188</v>
      </c>
      <c r="F527" s="24"/>
      <c r="G527" s="24">
        <v>6000</v>
      </c>
      <c r="H527" t="s">
        <v>460</v>
      </c>
      <c r="I527" s="74">
        <f t="shared" si="8"/>
        <v>0</v>
      </c>
    </row>
    <row r="528" spans="1:9" ht="15" customHeight="1" x14ac:dyDescent="0.25">
      <c r="A528" s="57">
        <v>45423</v>
      </c>
      <c r="B528" t="s">
        <v>120</v>
      </c>
      <c r="C528" t="s">
        <v>160</v>
      </c>
      <c r="D528" t="s">
        <v>81</v>
      </c>
      <c r="F528" s="24">
        <v>2000</v>
      </c>
      <c r="G528" s="24"/>
      <c r="H528" t="s">
        <v>461</v>
      </c>
      <c r="I528" s="74">
        <f t="shared" si="8"/>
        <v>0</v>
      </c>
    </row>
    <row r="529" spans="1:9" ht="15" customHeight="1" x14ac:dyDescent="0.25">
      <c r="A529" s="57">
        <v>45423</v>
      </c>
      <c r="B529" t="s">
        <v>120</v>
      </c>
      <c r="C529" t="s">
        <v>157</v>
      </c>
      <c r="D529" t="s">
        <v>88</v>
      </c>
      <c r="E529" t="s">
        <v>188</v>
      </c>
      <c r="F529" s="24"/>
      <c r="G529" s="24">
        <v>2000</v>
      </c>
      <c r="H529" t="s">
        <v>461</v>
      </c>
      <c r="I529" s="74">
        <f t="shared" si="8"/>
        <v>0</v>
      </c>
    </row>
    <row r="530" spans="1:9" ht="15" customHeight="1" x14ac:dyDescent="0.25">
      <c r="A530" s="57">
        <v>45424</v>
      </c>
      <c r="B530" t="s">
        <v>121</v>
      </c>
      <c r="C530" t="s">
        <v>160</v>
      </c>
      <c r="D530" t="s">
        <v>71</v>
      </c>
      <c r="F530" s="24">
        <v>500</v>
      </c>
      <c r="G530" s="24"/>
      <c r="H530" t="s">
        <v>462</v>
      </c>
      <c r="I530" s="74">
        <f t="shared" si="8"/>
        <v>0</v>
      </c>
    </row>
    <row r="531" spans="1:9" ht="15" customHeight="1" x14ac:dyDescent="0.25">
      <c r="A531" s="57">
        <v>45424</v>
      </c>
      <c r="B531" t="s">
        <v>121</v>
      </c>
      <c r="C531" t="s">
        <v>157</v>
      </c>
      <c r="D531" t="s">
        <v>88</v>
      </c>
      <c r="E531" t="s">
        <v>188</v>
      </c>
      <c r="F531" s="24"/>
      <c r="G531" s="24">
        <v>500</v>
      </c>
      <c r="H531" t="s">
        <v>462</v>
      </c>
      <c r="I531" s="74">
        <f t="shared" si="8"/>
        <v>0</v>
      </c>
    </row>
    <row r="532" spans="1:9" ht="15" customHeight="1" x14ac:dyDescent="0.25">
      <c r="A532" s="57">
        <v>45425</v>
      </c>
      <c r="B532" t="s">
        <v>127</v>
      </c>
      <c r="C532" t="s">
        <v>160</v>
      </c>
      <c r="D532" t="s">
        <v>78</v>
      </c>
      <c r="F532" s="24">
        <v>500</v>
      </c>
      <c r="G532" s="24"/>
      <c r="H532" t="s">
        <v>463</v>
      </c>
      <c r="I532" s="74">
        <f t="shared" si="8"/>
        <v>0</v>
      </c>
    </row>
    <row r="533" spans="1:9" ht="15" customHeight="1" x14ac:dyDescent="0.25">
      <c r="A533" s="57">
        <v>45425</v>
      </c>
      <c r="B533" t="s">
        <v>127</v>
      </c>
      <c r="C533" t="s">
        <v>157</v>
      </c>
      <c r="D533" t="s">
        <v>88</v>
      </c>
      <c r="E533" t="s">
        <v>188</v>
      </c>
      <c r="F533" s="24"/>
      <c r="G533" s="24">
        <v>500</v>
      </c>
      <c r="H533" t="s">
        <v>463</v>
      </c>
      <c r="I533" s="74">
        <f t="shared" si="8"/>
        <v>0</v>
      </c>
    </row>
    <row r="534" spans="1:9" ht="15" customHeight="1" x14ac:dyDescent="0.25">
      <c r="A534" s="57">
        <v>45426</v>
      </c>
      <c r="B534" t="s">
        <v>128</v>
      </c>
      <c r="C534" t="s">
        <v>160</v>
      </c>
      <c r="D534" t="s">
        <v>75</v>
      </c>
      <c r="F534" s="24">
        <v>1500</v>
      </c>
      <c r="G534" s="24"/>
      <c r="H534" t="s">
        <v>464</v>
      </c>
      <c r="I534" s="74">
        <f t="shared" si="8"/>
        <v>0</v>
      </c>
    </row>
    <row r="535" spans="1:9" ht="15" customHeight="1" x14ac:dyDescent="0.25">
      <c r="A535" s="57">
        <v>45426</v>
      </c>
      <c r="B535" t="s">
        <v>128</v>
      </c>
      <c r="C535" t="s">
        <v>157</v>
      </c>
      <c r="D535" t="s">
        <v>88</v>
      </c>
      <c r="E535" t="s">
        <v>188</v>
      </c>
      <c r="F535" s="24"/>
      <c r="G535" s="24">
        <v>1500</v>
      </c>
      <c r="H535" t="s">
        <v>464</v>
      </c>
      <c r="I535" s="74">
        <f t="shared" si="8"/>
        <v>0</v>
      </c>
    </row>
    <row r="536" spans="1:9" ht="15" customHeight="1" x14ac:dyDescent="0.25">
      <c r="A536" s="57">
        <v>45438</v>
      </c>
      <c r="B536" t="s">
        <v>204</v>
      </c>
      <c r="C536" t="s">
        <v>160</v>
      </c>
      <c r="D536" t="s">
        <v>67</v>
      </c>
      <c r="F536" s="24">
        <v>13500</v>
      </c>
      <c r="G536" s="24"/>
      <c r="H536" t="s">
        <v>465</v>
      </c>
      <c r="I536" s="74">
        <f t="shared" si="8"/>
        <v>0</v>
      </c>
    </row>
    <row r="537" spans="1:9" ht="15" customHeight="1" x14ac:dyDescent="0.25">
      <c r="A537" s="57">
        <v>45438</v>
      </c>
      <c r="B537" t="s">
        <v>204</v>
      </c>
      <c r="C537" t="s">
        <v>157</v>
      </c>
      <c r="D537" t="s">
        <v>92</v>
      </c>
      <c r="F537" s="24"/>
      <c r="G537" s="24">
        <v>13500</v>
      </c>
      <c r="H537" t="s">
        <v>465</v>
      </c>
      <c r="I537" s="74">
        <f t="shared" si="8"/>
        <v>0</v>
      </c>
    </row>
    <row r="538" spans="1:9" ht="15" customHeight="1" x14ac:dyDescent="0.25">
      <c r="A538" s="57">
        <v>45439</v>
      </c>
      <c r="B538" t="s">
        <v>207</v>
      </c>
      <c r="C538" t="s">
        <v>160</v>
      </c>
      <c r="D538" t="s">
        <v>73</v>
      </c>
      <c r="F538" s="24">
        <v>500</v>
      </c>
      <c r="G538" s="24"/>
      <c r="H538" t="s">
        <v>466</v>
      </c>
      <c r="I538" s="74">
        <f t="shared" si="8"/>
        <v>0</v>
      </c>
    </row>
    <row r="539" spans="1:9" ht="15" customHeight="1" x14ac:dyDescent="0.25">
      <c r="A539" s="57">
        <v>45439</v>
      </c>
      <c r="B539" t="s">
        <v>207</v>
      </c>
      <c r="C539" t="s">
        <v>157</v>
      </c>
      <c r="D539" t="s">
        <v>100</v>
      </c>
      <c r="F539" s="24"/>
      <c r="G539" s="24">
        <v>500</v>
      </c>
      <c r="H539" t="s">
        <v>466</v>
      </c>
      <c r="I539" s="74">
        <f t="shared" si="8"/>
        <v>0</v>
      </c>
    </row>
    <row r="540" spans="1:9" ht="15" customHeight="1" x14ac:dyDescent="0.25">
      <c r="A540" s="57">
        <v>45445</v>
      </c>
      <c r="B540" t="s">
        <v>181</v>
      </c>
      <c r="C540" t="s">
        <v>157</v>
      </c>
      <c r="D540" t="s">
        <v>90</v>
      </c>
      <c r="F540" s="24">
        <v>27000</v>
      </c>
      <c r="G540" s="24"/>
      <c r="H540" t="s">
        <v>467</v>
      </c>
      <c r="I540" s="74">
        <f t="shared" si="8"/>
        <v>0</v>
      </c>
    </row>
    <row r="541" spans="1:9" ht="15" customHeight="1" x14ac:dyDescent="0.25">
      <c r="A541" s="57">
        <v>45445</v>
      </c>
      <c r="B541" t="s">
        <v>181</v>
      </c>
      <c r="C541" t="s">
        <v>60</v>
      </c>
      <c r="D541" t="s">
        <v>63</v>
      </c>
      <c r="F541" s="24"/>
      <c r="G541" s="24">
        <v>27000</v>
      </c>
      <c r="H541" t="s">
        <v>467</v>
      </c>
      <c r="I541" s="74">
        <f t="shared" si="8"/>
        <v>0</v>
      </c>
    </row>
    <row r="542" spans="1:9" ht="15" customHeight="1" x14ac:dyDescent="0.25">
      <c r="A542" s="57">
        <v>45446</v>
      </c>
      <c r="B542" t="s">
        <v>184</v>
      </c>
      <c r="C542" t="s">
        <v>157</v>
      </c>
      <c r="D542" t="s">
        <v>92</v>
      </c>
      <c r="F542" s="24">
        <v>21500</v>
      </c>
      <c r="G542" s="24"/>
      <c r="H542" t="s">
        <v>468</v>
      </c>
      <c r="I542" s="74">
        <f t="shared" si="8"/>
        <v>0</v>
      </c>
    </row>
    <row r="543" spans="1:9" ht="15" customHeight="1" x14ac:dyDescent="0.25">
      <c r="A543" s="57">
        <v>45446</v>
      </c>
      <c r="B543" t="s">
        <v>184</v>
      </c>
      <c r="C543" t="s">
        <v>158</v>
      </c>
      <c r="D543" t="s">
        <v>89</v>
      </c>
      <c r="F543" s="24"/>
      <c r="G543" s="24">
        <v>21500</v>
      </c>
      <c r="H543" t="s">
        <v>468</v>
      </c>
      <c r="I543" s="74">
        <f t="shared" si="8"/>
        <v>0</v>
      </c>
    </row>
    <row r="544" spans="1:9" ht="15" customHeight="1" x14ac:dyDescent="0.25">
      <c r="A544" s="57">
        <v>45447</v>
      </c>
      <c r="B544" t="s">
        <v>122</v>
      </c>
      <c r="C544" t="s">
        <v>158</v>
      </c>
      <c r="D544" t="s">
        <v>89</v>
      </c>
      <c r="F544" s="24">
        <v>0</v>
      </c>
      <c r="G544" s="24"/>
      <c r="H544" t="s">
        <v>469</v>
      </c>
      <c r="I544" s="74">
        <f t="shared" si="8"/>
        <v>0</v>
      </c>
    </row>
    <row r="545" spans="1:9" ht="15" customHeight="1" x14ac:dyDescent="0.25">
      <c r="A545" s="57">
        <v>45447</v>
      </c>
      <c r="B545" t="s">
        <v>122</v>
      </c>
      <c r="C545" t="s">
        <v>157</v>
      </c>
      <c r="D545" t="s">
        <v>88</v>
      </c>
      <c r="E545" t="s">
        <v>188</v>
      </c>
      <c r="F545" s="24"/>
      <c r="G545" s="24">
        <v>0</v>
      </c>
      <c r="H545" t="s">
        <v>469</v>
      </c>
      <c r="I545" s="74">
        <f t="shared" si="8"/>
        <v>0</v>
      </c>
    </row>
    <row r="546" spans="1:9" ht="15" customHeight="1" x14ac:dyDescent="0.25">
      <c r="A546" s="57">
        <v>45448</v>
      </c>
      <c r="B546" t="s">
        <v>115</v>
      </c>
      <c r="C546" t="s">
        <v>157</v>
      </c>
      <c r="D546" t="s">
        <v>88</v>
      </c>
      <c r="E546" t="s">
        <v>190</v>
      </c>
      <c r="F546" s="24">
        <v>18000</v>
      </c>
      <c r="G546" s="24"/>
      <c r="H546" t="s">
        <v>470</v>
      </c>
      <c r="I546" s="74">
        <f t="shared" si="8"/>
        <v>0</v>
      </c>
    </row>
    <row r="547" spans="1:9" ht="15" customHeight="1" x14ac:dyDescent="0.25">
      <c r="A547" s="57">
        <v>45448</v>
      </c>
      <c r="B547" t="s">
        <v>115</v>
      </c>
      <c r="C547" t="s">
        <v>60</v>
      </c>
      <c r="D547" t="s">
        <v>63</v>
      </c>
      <c r="F547" s="24"/>
      <c r="G547" s="24">
        <v>18000</v>
      </c>
      <c r="H547" t="s">
        <v>470</v>
      </c>
      <c r="I547" s="74">
        <f t="shared" si="8"/>
        <v>0</v>
      </c>
    </row>
    <row r="548" spans="1:9" ht="15" customHeight="1" x14ac:dyDescent="0.25">
      <c r="A548" s="57">
        <v>45449</v>
      </c>
      <c r="B548" t="s">
        <v>113</v>
      </c>
      <c r="C548" t="s">
        <v>157</v>
      </c>
      <c r="D548" t="s">
        <v>88</v>
      </c>
      <c r="E548" t="s">
        <v>190</v>
      </c>
      <c r="F548" s="24">
        <v>7000</v>
      </c>
      <c r="G548" s="24"/>
      <c r="H548" t="s">
        <v>471</v>
      </c>
      <c r="I548" s="74">
        <f t="shared" si="8"/>
        <v>0</v>
      </c>
    </row>
    <row r="549" spans="1:9" ht="15" customHeight="1" x14ac:dyDescent="0.25">
      <c r="A549" s="57">
        <v>45449</v>
      </c>
      <c r="B549" t="s">
        <v>113</v>
      </c>
      <c r="C549" t="s">
        <v>60</v>
      </c>
      <c r="D549" t="s">
        <v>61</v>
      </c>
      <c r="F549" s="24"/>
      <c r="G549" s="24">
        <v>7000</v>
      </c>
      <c r="H549" t="s">
        <v>471</v>
      </c>
      <c r="I549" s="74">
        <f t="shared" si="8"/>
        <v>0</v>
      </c>
    </row>
    <row r="550" spans="1:9" ht="15" customHeight="1" x14ac:dyDescent="0.25">
      <c r="A550" s="57">
        <v>45450</v>
      </c>
      <c r="B550" t="s">
        <v>194</v>
      </c>
      <c r="C550" t="s">
        <v>157</v>
      </c>
      <c r="D550" t="s">
        <v>90</v>
      </c>
      <c r="F550" s="24">
        <v>9000</v>
      </c>
      <c r="G550" s="24"/>
      <c r="H550" t="s">
        <v>472</v>
      </c>
      <c r="I550" s="74">
        <f t="shared" si="8"/>
        <v>0</v>
      </c>
    </row>
    <row r="551" spans="1:9" ht="15" customHeight="1" x14ac:dyDescent="0.25">
      <c r="A551" s="57">
        <v>45450</v>
      </c>
      <c r="B551" t="s">
        <v>194</v>
      </c>
      <c r="C551" t="s">
        <v>60</v>
      </c>
      <c r="D551" t="s">
        <v>64</v>
      </c>
      <c r="F551" s="24"/>
      <c r="G551" s="24">
        <v>9000</v>
      </c>
      <c r="H551" t="s">
        <v>472</v>
      </c>
      <c r="I551" s="74">
        <f t="shared" si="8"/>
        <v>0</v>
      </c>
    </row>
    <row r="552" spans="1:9" ht="15" customHeight="1" x14ac:dyDescent="0.25">
      <c r="A552" s="57">
        <v>45451</v>
      </c>
      <c r="B552" t="s">
        <v>114</v>
      </c>
      <c r="C552" t="s">
        <v>157</v>
      </c>
      <c r="D552" t="s">
        <v>88</v>
      </c>
      <c r="E552" t="s">
        <v>190</v>
      </c>
      <c r="F552" s="24">
        <v>19000</v>
      </c>
      <c r="G552" s="24"/>
      <c r="H552" t="s">
        <v>473</v>
      </c>
      <c r="I552" s="74">
        <f t="shared" si="8"/>
        <v>0</v>
      </c>
    </row>
    <row r="553" spans="1:9" ht="15" customHeight="1" x14ac:dyDescent="0.25">
      <c r="A553" s="57">
        <v>45451</v>
      </c>
      <c r="B553" t="s">
        <v>114</v>
      </c>
      <c r="C553" t="s">
        <v>157</v>
      </c>
      <c r="D553" t="s">
        <v>90</v>
      </c>
      <c r="F553" s="24"/>
      <c r="G553" s="24">
        <v>19000</v>
      </c>
      <c r="H553" t="s">
        <v>473</v>
      </c>
      <c r="I553" s="74">
        <f t="shared" si="8"/>
        <v>0</v>
      </c>
    </row>
    <row r="554" spans="1:9" ht="15" customHeight="1" x14ac:dyDescent="0.25">
      <c r="A554" s="57">
        <v>45452</v>
      </c>
      <c r="B554" t="s">
        <v>118</v>
      </c>
      <c r="C554" t="s">
        <v>160</v>
      </c>
      <c r="D554" t="s">
        <v>77</v>
      </c>
      <c r="F554" s="24">
        <v>3500</v>
      </c>
      <c r="G554" s="24"/>
      <c r="H554" t="s">
        <v>474</v>
      </c>
      <c r="I554" s="74">
        <f t="shared" si="8"/>
        <v>0</v>
      </c>
    </row>
    <row r="555" spans="1:9" ht="15" customHeight="1" x14ac:dyDescent="0.25">
      <c r="A555" s="57">
        <v>45452</v>
      </c>
      <c r="B555" t="s">
        <v>118</v>
      </c>
      <c r="C555" t="s">
        <v>157</v>
      </c>
      <c r="D555" t="s">
        <v>88</v>
      </c>
      <c r="E555" t="s">
        <v>188</v>
      </c>
      <c r="F555" s="24"/>
      <c r="G555" s="24">
        <v>3500</v>
      </c>
      <c r="H555" t="s">
        <v>474</v>
      </c>
      <c r="I555" s="74">
        <f t="shared" si="8"/>
        <v>0</v>
      </c>
    </row>
    <row r="556" spans="1:9" ht="15" customHeight="1" x14ac:dyDescent="0.25">
      <c r="A556" s="57">
        <v>45453</v>
      </c>
      <c r="B556" t="s">
        <v>119</v>
      </c>
      <c r="C556" t="s">
        <v>160</v>
      </c>
      <c r="D556" t="s">
        <v>72</v>
      </c>
      <c r="F556" s="24">
        <v>6500</v>
      </c>
      <c r="G556" s="24"/>
      <c r="H556" t="s">
        <v>475</v>
      </c>
      <c r="I556" s="74">
        <f t="shared" si="8"/>
        <v>0</v>
      </c>
    </row>
    <row r="557" spans="1:9" ht="15" customHeight="1" x14ac:dyDescent="0.25">
      <c r="A557" s="57">
        <v>45453</v>
      </c>
      <c r="B557" t="s">
        <v>119</v>
      </c>
      <c r="C557" t="s">
        <v>157</v>
      </c>
      <c r="D557" t="s">
        <v>88</v>
      </c>
      <c r="E557" t="s">
        <v>188</v>
      </c>
      <c r="F557" s="24"/>
      <c r="G557" s="24">
        <v>6500</v>
      </c>
      <c r="H557" t="s">
        <v>475</v>
      </c>
      <c r="I557" s="74">
        <f t="shared" si="8"/>
        <v>0</v>
      </c>
    </row>
    <row r="558" spans="1:9" ht="15" customHeight="1" x14ac:dyDescent="0.25">
      <c r="A558" s="57">
        <v>45454</v>
      </c>
      <c r="B558" t="s">
        <v>120</v>
      </c>
      <c r="C558" t="s">
        <v>160</v>
      </c>
      <c r="D558" t="s">
        <v>81</v>
      </c>
      <c r="F558" s="24">
        <v>2000</v>
      </c>
      <c r="G558" s="24"/>
      <c r="H558" t="s">
        <v>476</v>
      </c>
      <c r="I558" s="74">
        <f t="shared" si="8"/>
        <v>0</v>
      </c>
    </row>
    <row r="559" spans="1:9" ht="15" customHeight="1" x14ac:dyDescent="0.25">
      <c r="A559" s="57">
        <v>45454</v>
      </c>
      <c r="B559" t="s">
        <v>120</v>
      </c>
      <c r="C559" t="s">
        <v>157</v>
      </c>
      <c r="D559" t="s">
        <v>88</v>
      </c>
      <c r="E559" t="s">
        <v>188</v>
      </c>
      <c r="F559" s="24"/>
      <c r="G559" s="24">
        <v>2000</v>
      </c>
      <c r="H559" t="s">
        <v>476</v>
      </c>
      <c r="I559" s="74">
        <f t="shared" si="8"/>
        <v>0</v>
      </c>
    </row>
    <row r="560" spans="1:9" ht="15" customHeight="1" x14ac:dyDescent="0.25">
      <c r="A560" s="57">
        <v>45455</v>
      </c>
      <c r="B560" t="s">
        <v>121</v>
      </c>
      <c r="C560" t="s">
        <v>160</v>
      </c>
      <c r="D560" t="s">
        <v>71</v>
      </c>
      <c r="F560" s="24">
        <v>1000</v>
      </c>
      <c r="G560" s="24"/>
      <c r="H560" t="s">
        <v>477</v>
      </c>
      <c r="I560" s="74">
        <f t="shared" si="8"/>
        <v>0</v>
      </c>
    </row>
    <row r="561" spans="1:9" ht="15" customHeight="1" x14ac:dyDescent="0.25">
      <c r="A561" s="57">
        <v>45455</v>
      </c>
      <c r="B561" t="s">
        <v>121</v>
      </c>
      <c r="C561" t="s">
        <v>157</v>
      </c>
      <c r="D561" t="s">
        <v>88</v>
      </c>
      <c r="E561" t="s">
        <v>188</v>
      </c>
      <c r="F561" s="24"/>
      <c r="G561" s="24">
        <v>1000</v>
      </c>
      <c r="H561" t="s">
        <v>477</v>
      </c>
      <c r="I561" s="74">
        <f t="shared" si="8"/>
        <v>0</v>
      </c>
    </row>
    <row r="562" spans="1:9" ht="15" customHeight="1" x14ac:dyDescent="0.25">
      <c r="A562" s="57">
        <v>45456</v>
      </c>
      <c r="B562" t="s">
        <v>123</v>
      </c>
      <c r="C562" t="s">
        <v>160</v>
      </c>
      <c r="D562" t="s">
        <v>80</v>
      </c>
      <c r="F562" s="24">
        <v>1000</v>
      </c>
      <c r="G562" s="24"/>
      <c r="H562" t="s">
        <v>478</v>
      </c>
      <c r="I562" s="74">
        <f t="shared" si="8"/>
        <v>0</v>
      </c>
    </row>
    <row r="563" spans="1:9" ht="15" customHeight="1" x14ac:dyDescent="0.25">
      <c r="A563" s="57">
        <v>45456</v>
      </c>
      <c r="B563" t="s">
        <v>123</v>
      </c>
      <c r="C563" t="s">
        <v>157</v>
      </c>
      <c r="D563" t="s">
        <v>88</v>
      </c>
      <c r="E563" t="s">
        <v>188</v>
      </c>
      <c r="F563" s="24"/>
      <c r="G563" s="24">
        <v>1000</v>
      </c>
      <c r="H563" t="s">
        <v>478</v>
      </c>
      <c r="I563" s="74">
        <f t="shared" si="8"/>
        <v>0</v>
      </c>
    </row>
    <row r="564" spans="1:9" ht="15" customHeight="1" x14ac:dyDescent="0.25">
      <c r="A564" s="57">
        <v>45457</v>
      </c>
      <c r="B564" t="s">
        <v>128</v>
      </c>
      <c r="C564" t="s">
        <v>160</v>
      </c>
      <c r="D564" t="s">
        <v>75</v>
      </c>
      <c r="F564" s="24">
        <v>1000</v>
      </c>
      <c r="G564" s="24"/>
      <c r="H564" t="s">
        <v>479</v>
      </c>
      <c r="I564" s="74">
        <f t="shared" si="8"/>
        <v>0</v>
      </c>
    </row>
    <row r="565" spans="1:9" ht="15" customHeight="1" x14ac:dyDescent="0.25">
      <c r="A565" s="57">
        <v>45457</v>
      </c>
      <c r="B565" t="s">
        <v>128</v>
      </c>
      <c r="C565" t="s">
        <v>157</v>
      </c>
      <c r="D565" t="s">
        <v>88</v>
      </c>
      <c r="E565" t="s">
        <v>188</v>
      </c>
      <c r="F565" s="24"/>
      <c r="G565" s="24">
        <v>1000</v>
      </c>
      <c r="H565" t="s">
        <v>479</v>
      </c>
      <c r="I565" s="74">
        <f t="shared" si="8"/>
        <v>0</v>
      </c>
    </row>
    <row r="566" spans="1:9" ht="15" customHeight="1" x14ac:dyDescent="0.25">
      <c r="A566" s="57">
        <v>45459</v>
      </c>
      <c r="B566" t="s">
        <v>136</v>
      </c>
      <c r="C566" t="s">
        <v>157</v>
      </c>
      <c r="D566" t="s">
        <v>98</v>
      </c>
      <c r="F566" s="24">
        <v>4500</v>
      </c>
      <c r="G566" s="24"/>
      <c r="H566" t="s">
        <v>480</v>
      </c>
      <c r="I566" s="74">
        <f t="shared" si="8"/>
        <v>0</v>
      </c>
    </row>
    <row r="567" spans="1:9" ht="15" customHeight="1" x14ac:dyDescent="0.25">
      <c r="A567" s="57">
        <v>45459</v>
      </c>
      <c r="B567" t="s">
        <v>136</v>
      </c>
      <c r="C567" t="s">
        <v>157</v>
      </c>
      <c r="D567" t="s">
        <v>88</v>
      </c>
      <c r="E567" t="s">
        <v>242</v>
      </c>
      <c r="F567" s="24"/>
      <c r="G567" s="24">
        <v>4500</v>
      </c>
      <c r="H567" t="s">
        <v>480</v>
      </c>
      <c r="I567" s="74">
        <f t="shared" si="8"/>
        <v>0</v>
      </c>
    </row>
    <row r="568" spans="1:9" ht="15" customHeight="1" x14ac:dyDescent="0.25">
      <c r="A568" s="57">
        <v>45461</v>
      </c>
      <c r="B568" t="s">
        <v>133</v>
      </c>
      <c r="C568" t="s">
        <v>157</v>
      </c>
      <c r="D568" t="s">
        <v>88</v>
      </c>
      <c r="E568" t="s">
        <v>243</v>
      </c>
      <c r="F568" s="24">
        <v>1000</v>
      </c>
      <c r="G568" s="24"/>
      <c r="H568" t="s">
        <v>481</v>
      </c>
      <c r="I568" s="74">
        <f t="shared" si="8"/>
        <v>0</v>
      </c>
    </row>
    <row r="569" spans="1:9" ht="15" customHeight="1" x14ac:dyDescent="0.25">
      <c r="A569" s="57">
        <v>45461</v>
      </c>
      <c r="B569" t="s">
        <v>133</v>
      </c>
      <c r="C569" t="s">
        <v>60</v>
      </c>
      <c r="D569" t="s">
        <v>62</v>
      </c>
      <c r="F569" s="24"/>
      <c r="G569" s="24">
        <v>1000</v>
      </c>
      <c r="H569" t="s">
        <v>481</v>
      </c>
      <c r="I569" s="74">
        <f t="shared" si="8"/>
        <v>0</v>
      </c>
    </row>
    <row r="570" spans="1:9" ht="15" customHeight="1" x14ac:dyDescent="0.25">
      <c r="A570" s="57">
        <v>45469</v>
      </c>
      <c r="B570" t="s">
        <v>204</v>
      </c>
      <c r="C570" t="s">
        <v>160</v>
      </c>
      <c r="D570" t="s">
        <v>67</v>
      </c>
      <c r="F570" s="24">
        <v>19500</v>
      </c>
      <c r="G570" s="24"/>
      <c r="H570" t="s">
        <v>482</v>
      </c>
      <c r="I570" s="74">
        <f t="shared" si="8"/>
        <v>0</v>
      </c>
    </row>
    <row r="571" spans="1:9" ht="15" customHeight="1" x14ac:dyDescent="0.25">
      <c r="A571" s="57">
        <v>45469</v>
      </c>
      <c r="B571" t="s">
        <v>204</v>
      </c>
      <c r="C571" t="s">
        <v>157</v>
      </c>
      <c r="D571" t="s">
        <v>92</v>
      </c>
      <c r="F571" s="24"/>
      <c r="G571" s="24">
        <v>19500</v>
      </c>
      <c r="H571" t="s">
        <v>482</v>
      </c>
      <c r="I571" s="74">
        <f t="shared" si="8"/>
        <v>0</v>
      </c>
    </row>
    <row r="572" spans="1:9" ht="15" customHeight="1" x14ac:dyDescent="0.25">
      <c r="A572" s="57">
        <v>45470</v>
      </c>
      <c r="B572" t="s">
        <v>207</v>
      </c>
      <c r="C572" t="s">
        <v>160</v>
      </c>
      <c r="D572" t="s">
        <v>73</v>
      </c>
      <c r="F572" s="24">
        <v>1200</v>
      </c>
      <c r="G572" s="24"/>
      <c r="H572" t="s">
        <v>483</v>
      </c>
      <c r="I572" s="74">
        <f t="shared" si="8"/>
        <v>0</v>
      </c>
    </row>
    <row r="573" spans="1:9" ht="15" customHeight="1" x14ac:dyDescent="0.25">
      <c r="A573" s="57">
        <v>45470</v>
      </c>
      <c r="B573" t="s">
        <v>207</v>
      </c>
      <c r="C573" t="s">
        <v>157</v>
      </c>
      <c r="D573" t="s">
        <v>100</v>
      </c>
      <c r="F573" s="24"/>
      <c r="G573" s="24">
        <v>1200</v>
      </c>
      <c r="H573" t="s">
        <v>483</v>
      </c>
      <c r="I573" s="74">
        <f t="shared" si="8"/>
        <v>0</v>
      </c>
    </row>
    <row r="574" spans="1:9" ht="15" customHeight="1" x14ac:dyDescent="0.25">
      <c r="A574" s="57">
        <v>45475</v>
      </c>
      <c r="B574" t="s">
        <v>181</v>
      </c>
      <c r="C574" t="s">
        <v>157</v>
      </c>
      <c r="D574" t="s">
        <v>90</v>
      </c>
      <c r="F574" s="24">
        <v>30000</v>
      </c>
      <c r="G574" s="24"/>
      <c r="H574" t="s">
        <v>484</v>
      </c>
      <c r="I574" s="74">
        <f t="shared" si="8"/>
        <v>0</v>
      </c>
    </row>
    <row r="575" spans="1:9" ht="15" customHeight="1" x14ac:dyDescent="0.25">
      <c r="A575" s="57">
        <v>45475</v>
      </c>
      <c r="B575" t="s">
        <v>181</v>
      </c>
      <c r="C575" t="s">
        <v>60</v>
      </c>
      <c r="D575" t="s">
        <v>63</v>
      </c>
      <c r="F575" s="24"/>
      <c r="G575" s="24">
        <v>30000</v>
      </c>
      <c r="H575" t="s">
        <v>484</v>
      </c>
      <c r="I575" s="74">
        <f t="shared" si="8"/>
        <v>0</v>
      </c>
    </row>
    <row r="576" spans="1:9" ht="15" customHeight="1" x14ac:dyDescent="0.25">
      <c r="A576" s="57">
        <v>45476</v>
      </c>
      <c r="B576" t="s">
        <v>184</v>
      </c>
      <c r="C576" t="s">
        <v>157</v>
      </c>
      <c r="D576" t="s">
        <v>92</v>
      </c>
      <c r="F576" s="24">
        <v>21500</v>
      </c>
      <c r="G576" s="24"/>
      <c r="H576" t="s">
        <v>485</v>
      </c>
      <c r="I576" s="74">
        <f t="shared" si="8"/>
        <v>0</v>
      </c>
    </row>
    <row r="577" spans="1:9" ht="15" customHeight="1" x14ac:dyDescent="0.25">
      <c r="A577" s="57">
        <v>45476</v>
      </c>
      <c r="B577" t="s">
        <v>184</v>
      </c>
      <c r="C577" t="s">
        <v>158</v>
      </c>
      <c r="D577" t="s">
        <v>89</v>
      </c>
      <c r="F577" s="24"/>
      <c r="G577" s="24">
        <v>21500</v>
      </c>
      <c r="H577" t="s">
        <v>485</v>
      </c>
      <c r="I577" s="74">
        <f t="shared" si="8"/>
        <v>0</v>
      </c>
    </row>
    <row r="578" spans="1:9" ht="15" customHeight="1" x14ac:dyDescent="0.25">
      <c r="A578" s="57">
        <v>45477</v>
      </c>
      <c r="B578" t="s">
        <v>122</v>
      </c>
      <c r="C578" t="s">
        <v>158</v>
      </c>
      <c r="D578" t="s">
        <v>89</v>
      </c>
      <c r="F578" s="24">
        <v>0</v>
      </c>
      <c r="G578" s="24"/>
      <c r="H578" t="s">
        <v>486</v>
      </c>
      <c r="I578" s="74">
        <f t="shared" ref="I578:I641" si="9">SUMIF($H:$H,H578,$F:$F)-SUMIF($H:$H,H578,$G:$G)</f>
        <v>0</v>
      </c>
    </row>
    <row r="579" spans="1:9" ht="15" customHeight="1" x14ac:dyDescent="0.25">
      <c r="A579" s="57">
        <v>45477</v>
      </c>
      <c r="B579" t="s">
        <v>122</v>
      </c>
      <c r="C579" t="s">
        <v>157</v>
      </c>
      <c r="D579" t="s">
        <v>88</v>
      </c>
      <c r="E579" t="s">
        <v>188</v>
      </c>
      <c r="F579" s="24"/>
      <c r="G579" s="24">
        <v>0</v>
      </c>
      <c r="H579" t="s">
        <v>486</v>
      </c>
      <c r="I579" s="74">
        <f t="shared" si="9"/>
        <v>0</v>
      </c>
    </row>
    <row r="580" spans="1:9" ht="15" customHeight="1" x14ac:dyDescent="0.25">
      <c r="A580" s="57">
        <v>45478</v>
      </c>
      <c r="B580" t="s">
        <v>115</v>
      </c>
      <c r="C580" t="s">
        <v>157</v>
      </c>
      <c r="D580" t="s">
        <v>88</v>
      </c>
      <c r="E580" t="s">
        <v>190</v>
      </c>
      <c r="F580" s="24">
        <v>11000</v>
      </c>
      <c r="G580" s="24"/>
      <c r="H580" t="s">
        <v>487</v>
      </c>
      <c r="I580" s="74">
        <f t="shared" si="9"/>
        <v>0</v>
      </c>
    </row>
    <row r="581" spans="1:9" ht="15" customHeight="1" x14ac:dyDescent="0.25">
      <c r="A581" s="57">
        <v>45478</v>
      </c>
      <c r="B581" t="s">
        <v>115</v>
      </c>
      <c r="C581" t="s">
        <v>60</v>
      </c>
      <c r="D581" t="s">
        <v>63</v>
      </c>
      <c r="F581" s="24"/>
      <c r="G581" s="24">
        <v>11000</v>
      </c>
      <c r="H581" t="s">
        <v>487</v>
      </c>
      <c r="I581" s="74">
        <f t="shared" si="9"/>
        <v>0</v>
      </c>
    </row>
    <row r="582" spans="1:9" ht="15" customHeight="1" x14ac:dyDescent="0.25">
      <c r="A582" s="57">
        <v>45479</v>
      </c>
      <c r="B582" t="s">
        <v>113</v>
      </c>
      <c r="C582" t="s">
        <v>157</v>
      </c>
      <c r="D582" t="s">
        <v>88</v>
      </c>
      <c r="E582" t="s">
        <v>190</v>
      </c>
      <c r="F582" s="24">
        <v>3500</v>
      </c>
      <c r="G582" s="24"/>
      <c r="H582" t="s">
        <v>488</v>
      </c>
      <c r="I582" s="74">
        <f t="shared" si="9"/>
        <v>0</v>
      </c>
    </row>
    <row r="583" spans="1:9" ht="15" customHeight="1" x14ac:dyDescent="0.25">
      <c r="A583" s="57">
        <v>45479</v>
      </c>
      <c r="B583" t="s">
        <v>113</v>
      </c>
      <c r="C583" t="s">
        <v>60</v>
      </c>
      <c r="D583" t="s">
        <v>61</v>
      </c>
      <c r="F583" s="24"/>
      <c r="G583" s="24">
        <v>3500</v>
      </c>
      <c r="H583" t="s">
        <v>488</v>
      </c>
      <c r="I583" s="74">
        <f t="shared" si="9"/>
        <v>0</v>
      </c>
    </row>
    <row r="584" spans="1:9" ht="15" customHeight="1" x14ac:dyDescent="0.25">
      <c r="A584" s="57">
        <v>45480</v>
      </c>
      <c r="B584" t="s">
        <v>194</v>
      </c>
      <c r="C584" t="s">
        <v>157</v>
      </c>
      <c r="D584" t="s">
        <v>90</v>
      </c>
      <c r="F584" s="24">
        <v>5000</v>
      </c>
      <c r="G584" s="24"/>
      <c r="H584" t="s">
        <v>489</v>
      </c>
      <c r="I584" s="74">
        <f t="shared" si="9"/>
        <v>0</v>
      </c>
    </row>
    <row r="585" spans="1:9" ht="15" customHeight="1" x14ac:dyDescent="0.25">
      <c r="A585" s="57">
        <v>45480</v>
      </c>
      <c r="B585" t="s">
        <v>194</v>
      </c>
      <c r="C585" t="s">
        <v>60</v>
      </c>
      <c r="D585" t="s">
        <v>64</v>
      </c>
      <c r="F585" s="24"/>
      <c r="G585" s="24">
        <v>5000</v>
      </c>
      <c r="H585" t="s">
        <v>489</v>
      </c>
      <c r="I585" s="74">
        <f t="shared" si="9"/>
        <v>0</v>
      </c>
    </row>
    <row r="586" spans="1:9" ht="15" customHeight="1" x14ac:dyDescent="0.25">
      <c r="A586" s="57">
        <v>45481</v>
      </c>
      <c r="B586" t="s">
        <v>114</v>
      </c>
      <c r="C586" t="s">
        <v>157</v>
      </c>
      <c r="D586" t="s">
        <v>88</v>
      </c>
      <c r="E586" t="s">
        <v>190</v>
      </c>
      <c r="F586" s="24">
        <v>25000</v>
      </c>
      <c r="G586" s="24"/>
      <c r="H586" t="s">
        <v>490</v>
      </c>
      <c r="I586" s="74">
        <f t="shared" si="9"/>
        <v>0</v>
      </c>
    </row>
    <row r="587" spans="1:9" ht="15" customHeight="1" x14ac:dyDescent="0.25">
      <c r="A587" s="57">
        <v>45481</v>
      </c>
      <c r="B587" t="s">
        <v>114</v>
      </c>
      <c r="C587" t="s">
        <v>157</v>
      </c>
      <c r="D587" t="s">
        <v>90</v>
      </c>
      <c r="F587" s="24"/>
      <c r="G587" s="24">
        <v>25000</v>
      </c>
      <c r="H587" t="s">
        <v>490</v>
      </c>
      <c r="I587" s="74">
        <f t="shared" si="9"/>
        <v>0</v>
      </c>
    </row>
    <row r="588" spans="1:9" ht="15" customHeight="1" x14ac:dyDescent="0.25">
      <c r="A588" s="57">
        <v>45482</v>
      </c>
      <c r="B588" t="s">
        <v>118</v>
      </c>
      <c r="C588" t="s">
        <v>160</v>
      </c>
      <c r="D588" t="s">
        <v>77</v>
      </c>
      <c r="F588" s="24">
        <v>5000</v>
      </c>
      <c r="G588" s="24"/>
      <c r="H588" t="s">
        <v>491</v>
      </c>
      <c r="I588" s="74">
        <f t="shared" si="9"/>
        <v>0</v>
      </c>
    </row>
    <row r="589" spans="1:9" ht="15" customHeight="1" x14ac:dyDescent="0.25">
      <c r="A589" s="57">
        <v>45482</v>
      </c>
      <c r="B589" t="s">
        <v>118</v>
      </c>
      <c r="C589" t="s">
        <v>157</v>
      </c>
      <c r="D589" t="s">
        <v>88</v>
      </c>
      <c r="E589" t="s">
        <v>188</v>
      </c>
      <c r="F589" s="24"/>
      <c r="G589" s="24">
        <v>5000</v>
      </c>
      <c r="H589" t="s">
        <v>491</v>
      </c>
      <c r="I589" s="74">
        <f t="shared" si="9"/>
        <v>0</v>
      </c>
    </row>
    <row r="590" spans="1:9" ht="15" customHeight="1" x14ac:dyDescent="0.25">
      <c r="A590" s="57">
        <v>45483</v>
      </c>
      <c r="B590" t="s">
        <v>119</v>
      </c>
      <c r="C590" t="s">
        <v>160</v>
      </c>
      <c r="D590" t="s">
        <v>72</v>
      </c>
      <c r="F590" s="24">
        <v>7500</v>
      </c>
      <c r="G590" s="24"/>
      <c r="H590" t="s">
        <v>492</v>
      </c>
      <c r="I590" s="74">
        <f t="shared" si="9"/>
        <v>0</v>
      </c>
    </row>
    <row r="591" spans="1:9" ht="15" customHeight="1" x14ac:dyDescent="0.25">
      <c r="A591" s="57">
        <v>45483</v>
      </c>
      <c r="B591" t="s">
        <v>119</v>
      </c>
      <c r="C591" t="s">
        <v>157</v>
      </c>
      <c r="D591" t="s">
        <v>88</v>
      </c>
      <c r="E591" t="s">
        <v>188</v>
      </c>
      <c r="F591" s="24"/>
      <c r="G591" s="24">
        <v>7500</v>
      </c>
      <c r="H591" t="s">
        <v>492</v>
      </c>
      <c r="I591" s="74">
        <f t="shared" si="9"/>
        <v>0</v>
      </c>
    </row>
    <row r="592" spans="1:9" ht="15" customHeight="1" x14ac:dyDescent="0.25">
      <c r="A592" s="57">
        <v>45484</v>
      </c>
      <c r="B592" t="s">
        <v>120</v>
      </c>
      <c r="C592" t="s">
        <v>160</v>
      </c>
      <c r="D592" t="s">
        <v>81</v>
      </c>
      <c r="F592" s="24">
        <v>1500</v>
      </c>
      <c r="G592" s="24"/>
      <c r="H592" t="s">
        <v>493</v>
      </c>
      <c r="I592" s="74">
        <f t="shared" si="9"/>
        <v>0</v>
      </c>
    </row>
    <row r="593" spans="1:9" ht="15" customHeight="1" x14ac:dyDescent="0.25">
      <c r="A593" s="57">
        <v>45484</v>
      </c>
      <c r="B593" t="s">
        <v>120</v>
      </c>
      <c r="C593" t="s">
        <v>157</v>
      </c>
      <c r="D593" t="s">
        <v>88</v>
      </c>
      <c r="E593" t="s">
        <v>188</v>
      </c>
      <c r="F593" s="24"/>
      <c r="G593" s="24">
        <v>1500</v>
      </c>
      <c r="H593" t="s">
        <v>493</v>
      </c>
      <c r="I593" s="74">
        <f t="shared" si="9"/>
        <v>0</v>
      </c>
    </row>
    <row r="594" spans="1:9" ht="15" customHeight="1" x14ac:dyDescent="0.25">
      <c r="A594" s="57">
        <v>45485</v>
      </c>
      <c r="B594" t="s">
        <v>121</v>
      </c>
      <c r="C594" t="s">
        <v>160</v>
      </c>
      <c r="D594" t="s">
        <v>71</v>
      </c>
      <c r="F594" s="24">
        <v>2000</v>
      </c>
      <c r="G594" s="24"/>
      <c r="H594" t="s">
        <v>494</v>
      </c>
      <c r="I594" s="74">
        <f t="shared" si="9"/>
        <v>0</v>
      </c>
    </row>
    <row r="595" spans="1:9" ht="15" customHeight="1" x14ac:dyDescent="0.25">
      <c r="A595" s="57">
        <v>45485</v>
      </c>
      <c r="B595" t="s">
        <v>121</v>
      </c>
      <c r="C595" t="s">
        <v>157</v>
      </c>
      <c r="D595" t="s">
        <v>88</v>
      </c>
      <c r="E595" t="s">
        <v>188</v>
      </c>
      <c r="F595" s="24"/>
      <c r="G595" s="24">
        <v>2000</v>
      </c>
      <c r="H595" t="s">
        <v>494</v>
      </c>
      <c r="I595" s="74">
        <f t="shared" si="9"/>
        <v>0</v>
      </c>
    </row>
    <row r="596" spans="1:9" ht="15" customHeight="1" x14ac:dyDescent="0.25">
      <c r="A596" s="57">
        <v>45486</v>
      </c>
      <c r="B596" t="s">
        <v>124</v>
      </c>
      <c r="C596" t="s">
        <v>160</v>
      </c>
      <c r="D596" t="s">
        <v>74</v>
      </c>
      <c r="F596" s="24">
        <v>1500</v>
      </c>
      <c r="G596" s="24"/>
      <c r="H596" t="s">
        <v>495</v>
      </c>
      <c r="I596" s="74">
        <f t="shared" si="9"/>
        <v>0</v>
      </c>
    </row>
    <row r="597" spans="1:9" ht="15" customHeight="1" x14ac:dyDescent="0.25">
      <c r="A597" s="57">
        <v>45486</v>
      </c>
      <c r="B597" t="s">
        <v>124</v>
      </c>
      <c r="C597" t="s">
        <v>157</v>
      </c>
      <c r="D597" t="s">
        <v>88</v>
      </c>
      <c r="E597" t="s">
        <v>188</v>
      </c>
      <c r="F597" s="24"/>
      <c r="G597" s="24">
        <v>1500</v>
      </c>
      <c r="H597" t="s">
        <v>495</v>
      </c>
      <c r="I597" s="74">
        <f t="shared" si="9"/>
        <v>0</v>
      </c>
    </row>
    <row r="598" spans="1:9" ht="15" customHeight="1" x14ac:dyDescent="0.25">
      <c r="A598" s="57">
        <v>45487</v>
      </c>
      <c r="B598" t="s">
        <v>128</v>
      </c>
      <c r="C598" t="s">
        <v>160</v>
      </c>
      <c r="D598" t="s">
        <v>75</v>
      </c>
      <c r="F598" s="24">
        <v>1000</v>
      </c>
      <c r="G598" s="24"/>
      <c r="H598" t="s">
        <v>496</v>
      </c>
      <c r="I598" s="74">
        <f t="shared" si="9"/>
        <v>0</v>
      </c>
    </row>
    <row r="599" spans="1:9" ht="15" customHeight="1" x14ac:dyDescent="0.25">
      <c r="A599" s="57">
        <v>45487</v>
      </c>
      <c r="B599" t="s">
        <v>128</v>
      </c>
      <c r="C599" t="s">
        <v>157</v>
      </c>
      <c r="D599" t="s">
        <v>88</v>
      </c>
      <c r="E599" t="s">
        <v>188</v>
      </c>
      <c r="F599" s="24"/>
      <c r="G599" s="24">
        <v>1000</v>
      </c>
      <c r="H599" t="s">
        <v>496</v>
      </c>
      <c r="I599" s="74">
        <f t="shared" si="9"/>
        <v>0</v>
      </c>
    </row>
    <row r="600" spans="1:9" ht="15" customHeight="1" x14ac:dyDescent="0.25">
      <c r="A600" s="57">
        <v>45499</v>
      </c>
      <c r="B600" t="s">
        <v>204</v>
      </c>
      <c r="C600" t="s">
        <v>160</v>
      </c>
      <c r="D600" t="s">
        <v>67</v>
      </c>
      <c r="F600" s="24">
        <v>16500</v>
      </c>
      <c r="G600" s="24"/>
      <c r="H600" t="s">
        <v>497</v>
      </c>
      <c r="I600" s="74">
        <f t="shared" si="9"/>
        <v>0</v>
      </c>
    </row>
    <row r="601" spans="1:9" ht="15" customHeight="1" x14ac:dyDescent="0.25">
      <c r="A601" s="57">
        <v>45499</v>
      </c>
      <c r="B601" t="s">
        <v>204</v>
      </c>
      <c r="C601" t="s">
        <v>157</v>
      </c>
      <c r="D601" t="s">
        <v>92</v>
      </c>
      <c r="F601" s="24"/>
      <c r="G601" s="24">
        <v>16500</v>
      </c>
      <c r="H601" t="s">
        <v>497</v>
      </c>
      <c r="I601" s="74">
        <f t="shared" si="9"/>
        <v>0</v>
      </c>
    </row>
    <row r="602" spans="1:9" ht="15" customHeight="1" x14ac:dyDescent="0.25">
      <c r="A602" s="57">
        <v>45500</v>
      </c>
      <c r="B602" t="s">
        <v>207</v>
      </c>
      <c r="C602" t="s">
        <v>160</v>
      </c>
      <c r="D602" t="s">
        <v>73</v>
      </c>
      <c r="F602" s="24">
        <v>900</v>
      </c>
      <c r="G602" s="24"/>
      <c r="H602" t="s">
        <v>498</v>
      </c>
      <c r="I602" s="74">
        <f t="shared" si="9"/>
        <v>0</v>
      </c>
    </row>
    <row r="603" spans="1:9" ht="15" customHeight="1" x14ac:dyDescent="0.25">
      <c r="A603" s="57">
        <v>45500</v>
      </c>
      <c r="B603" t="s">
        <v>207</v>
      </c>
      <c r="C603" t="s">
        <v>157</v>
      </c>
      <c r="D603" t="s">
        <v>100</v>
      </c>
      <c r="F603" s="24"/>
      <c r="G603" s="24">
        <v>900</v>
      </c>
      <c r="H603" t="s">
        <v>498</v>
      </c>
      <c r="I603" s="74">
        <f t="shared" si="9"/>
        <v>0</v>
      </c>
    </row>
    <row r="604" spans="1:9" ht="15" customHeight="1" x14ac:dyDescent="0.25">
      <c r="A604" s="57">
        <v>45506</v>
      </c>
      <c r="B604" t="s">
        <v>181</v>
      </c>
      <c r="C604" t="s">
        <v>157</v>
      </c>
      <c r="D604" t="s">
        <v>90</v>
      </c>
      <c r="F604" s="24">
        <v>20000</v>
      </c>
      <c r="G604" s="24"/>
      <c r="H604" t="s">
        <v>499</v>
      </c>
      <c r="I604" s="74">
        <f t="shared" si="9"/>
        <v>0</v>
      </c>
    </row>
    <row r="605" spans="1:9" ht="15" customHeight="1" x14ac:dyDescent="0.25">
      <c r="A605" s="57">
        <v>45506</v>
      </c>
      <c r="B605" t="s">
        <v>181</v>
      </c>
      <c r="C605" t="s">
        <v>60</v>
      </c>
      <c r="D605" t="s">
        <v>63</v>
      </c>
      <c r="F605" s="24"/>
      <c r="G605" s="24">
        <v>20000</v>
      </c>
      <c r="H605" t="s">
        <v>499</v>
      </c>
      <c r="I605" s="74">
        <f t="shared" si="9"/>
        <v>0</v>
      </c>
    </row>
    <row r="606" spans="1:9" ht="15" customHeight="1" x14ac:dyDescent="0.25">
      <c r="A606" s="57">
        <v>45507</v>
      </c>
      <c r="B606" t="s">
        <v>184</v>
      </c>
      <c r="C606" t="s">
        <v>157</v>
      </c>
      <c r="D606" t="s">
        <v>92</v>
      </c>
      <c r="F606" s="24">
        <v>18500</v>
      </c>
      <c r="G606" s="24"/>
      <c r="H606" t="s">
        <v>500</v>
      </c>
      <c r="I606" s="74">
        <f t="shared" si="9"/>
        <v>0</v>
      </c>
    </row>
    <row r="607" spans="1:9" ht="15" customHeight="1" x14ac:dyDescent="0.25">
      <c r="A607" s="57">
        <v>45507</v>
      </c>
      <c r="B607" t="s">
        <v>184</v>
      </c>
      <c r="C607" t="s">
        <v>158</v>
      </c>
      <c r="D607" t="s">
        <v>89</v>
      </c>
      <c r="F607" s="24"/>
      <c r="G607" s="24">
        <v>18500</v>
      </c>
      <c r="H607" t="s">
        <v>500</v>
      </c>
      <c r="I607" s="74">
        <f t="shared" si="9"/>
        <v>0</v>
      </c>
    </row>
    <row r="608" spans="1:9" ht="15" customHeight="1" x14ac:dyDescent="0.25">
      <c r="A608" s="57">
        <v>45508</v>
      </c>
      <c r="B608" t="s">
        <v>122</v>
      </c>
      <c r="C608" t="s">
        <v>158</v>
      </c>
      <c r="D608" t="s">
        <v>89</v>
      </c>
      <c r="F608" s="24">
        <v>0</v>
      </c>
      <c r="G608" s="24"/>
      <c r="H608" t="s">
        <v>501</v>
      </c>
      <c r="I608" s="74">
        <f t="shared" si="9"/>
        <v>0</v>
      </c>
    </row>
    <row r="609" spans="1:9" ht="15" customHeight="1" x14ac:dyDescent="0.25">
      <c r="A609" s="57">
        <v>45508</v>
      </c>
      <c r="B609" t="s">
        <v>122</v>
      </c>
      <c r="C609" t="s">
        <v>157</v>
      </c>
      <c r="D609" t="s">
        <v>88</v>
      </c>
      <c r="E609" t="s">
        <v>188</v>
      </c>
      <c r="F609" s="24"/>
      <c r="G609" s="24">
        <v>0</v>
      </c>
      <c r="H609" t="s">
        <v>501</v>
      </c>
      <c r="I609" s="74">
        <f t="shared" si="9"/>
        <v>0</v>
      </c>
    </row>
    <row r="610" spans="1:9" ht="15" customHeight="1" x14ac:dyDescent="0.25">
      <c r="A610" s="57">
        <v>45509</v>
      </c>
      <c r="B610" t="s">
        <v>115</v>
      </c>
      <c r="C610" t="s">
        <v>157</v>
      </c>
      <c r="D610" t="s">
        <v>88</v>
      </c>
      <c r="E610" t="s">
        <v>190</v>
      </c>
      <c r="F610" s="24">
        <v>16000</v>
      </c>
      <c r="G610" s="24"/>
      <c r="H610" t="s">
        <v>502</v>
      </c>
      <c r="I610" s="74">
        <f t="shared" si="9"/>
        <v>0</v>
      </c>
    </row>
    <row r="611" spans="1:9" ht="15" customHeight="1" x14ac:dyDescent="0.25">
      <c r="A611" s="57">
        <v>45509</v>
      </c>
      <c r="B611" t="s">
        <v>115</v>
      </c>
      <c r="C611" t="s">
        <v>60</v>
      </c>
      <c r="D611" t="s">
        <v>63</v>
      </c>
      <c r="F611" s="24"/>
      <c r="G611" s="24">
        <v>16000</v>
      </c>
      <c r="H611" t="s">
        <v>502</v>
      </c>
      <c r="I611" s="74">
        <f t="shared" si="9"/>
        <v>0</v>
      </c>
    </row>
    <row r="612" spans="1:9" ht="15" customHeight="1" x14ac:dyDescent="0.25">
      <c r="A612" s="57">
        <v>45510</v>
      </c>
      <c r="B612" t="s">
        <v>113</v>
      </c>
      <c r="C612" t="s">
        <v>157</v>
      </c>
      <c r="D612" t="s">
        <v>88</v>
      </c>
      <c r="E612" t="s">
        <v>190</v>
      </c>
      <c r="F612" s="24">
        <v>6000</v>
      </c>
      <c r="G612" s="24"/>
      <c r="H612" t="s">
        <v>503</v>
      </c>
      <c r="I612" s="74">
        <f t="shared" si="9"/>
        <v>0</v>
      </c>
    </row>
    <row r="613" spans="1:9" ht="15" customHeight="1" x14ac:dyDescent="0.25">
      <c r="A613" s="57">
        <v>45510</v>
      </c>
      <c r="B613" t="s">
        <v>113</v>
      </c>
      <c r="C613" t="s">
        <v>60</v>
      </c>
      <c r="D613" t="s">
        <v>61</v>
      </c>
      <c r="F613" s="24"/>
      <c r="G613" s="24">
        <v>6000</v>
      </c>
      <c r="H613" t="s">
        <v>503</v>
      </c>
      <c r="I613" s="74">
        <f t="shared" si="9"/>
        <v>0</v>
      </c>
    </row>
    <row r="614" spans="1:9" ht="15" customHeight="1" x14ac:dyDescent="0.25">
      <c r="A614" s="57">
        <v>45511</v>
      </c>
      <c r="B614" t="s">
        <v>194</v>
      </c>
      <c r="C614" t="s">
        <v>157</v>
      </c>
      <c r="D614" t="s">
        <v>90</v>
      </c>
      <c r="F614" s="24">
        <v>10000</v>
      </c>
      <c r="G614" s="24"/>
      <c r="H614" t="s">
        <v>504</v>
      </c>
      <c r="I614" s="74">
        <f t="shared" si="9"/>
        <v>0</v>
      </c>
    </row>
    <row r="615" spans="1:9" ht="15" customHeight="1" x14ac:dyDescent="0.25">
      <c r="A615" s="57">
        <v>45511</v>
      </c>
      <c r="B615" t="s">
        <v>194</v>
      </c>
      <c r="C615" t="s">
        <v>60</v>
      </c>
      <c r="D615" t="s">
        <v>64</v>
      </c>
      <c r="F615" s="24"/>
      <c r="G615" s="24">
        <v>10000</v>
      </c>
      <c r="H615" t="s">
        <v>504</v>
      </c>
      <c r="I615" s="74">
        <f t="shared" si="9"/>
        <v>0</v>
      </c>
    </row>
    <row r="616" spans="1:9" ht="15" customHeight="1" x14ac:dyDescent="0.25">
      <c r="A616" s="57">
        <v>45512</v>
      </c>
      <c r="B616" t="s">
        <v>114</v>
      </c>
      <c r="C616" t="s">
        <v>157</v>
      </c>
      <c r="D616" t="s">
        <v>88</v>
      </c>
      <c r="E616" t="s">
        <v>190</v>
      </c>
      <c r="F616" s="24">
        <v>27000</v>
      </c>
      <c r="G616" s="24"/>
      <c r="H616" t="s">
        <v>505</v>
      </c>
      <c r="I616" s="74">
        <f t="shared" si="9"/>
        <v>0</v>
      </c>
    </row>
    <row r="617" spans="1:9" ht="15" customHeight="1" x14ac:dyDescent="0.25">
      <c r="A617" s="57">
        <v>45512</v>
      </c>
      <c r="B617" t="s">
        <v>114</v>
      </c>
      <c r="C617" t="s">
        <v>157</v>
      </c>
      <c r="D617" t="s">
        <v>90</v>
      </c>
      <c r="F617" s="24"/>
      <c r="G617" s="24">
        <v>27000</v>
      </c>
      <c r="H617" t="s">
        <v>505</v>
      </c>
      <c r="I617" s="74">
        <f t="shared" si="9"/>
        <v>0</v>
      </c>
    </row>
    <row r="618" spans="1:9" ht="15" customHeight="1" x14ac:dyDescent="0.25">
      <c r="A618" s="57">
        <v>45513</v>
      </c>
      <c r="B618" t="s">
        <v>118</v>
      </c>
      <c r="C618" t="s">
        <v>160</v>
      </c>
      <c r="D618" t="s">
        <v>77</v>
      </c>
      <c r="F618" s="24">
        <v>4000</v>
      </c>
      <c r="G618" s="24"/>
      <c r="H618" t="s">
        <v>506</v>
      </c>
      <c r="I618" s="74">
        <f t="shared" si="9"/>
        <v>0</v>
      </c>
    </row>
    <row r="619" spans="1:9" ht="15" customHeight="1" x14ac:dyDescent="0.25">
      <c r="A619" s="57">
        <v>45513</v>
      </c>
      <c r="B619" t="s">
        <v>118</v>
      </c>
      <c r="C619" t="s">
        <v>157</v>
      </c>
      <c r="D619" t="s">
        <v>88</v>
      </c>
      <c r="E619" t="s">
        <v>188</v>
      </c>
      <c r="F619" s="24"/>
      <c r="G619" s="24">
        <v>4000</v>
      </c>
      <c r="H619" t="s">
        <v>506</v>
      </c>
      <c r="I619" s="74">
        <f t="shared" si="9"/>
        <v>0</v>
      </c>
    </row>
    <row r="620" spans="1:9" ht="15" customHeight="1" x14ac:dyDescent="0.25">
      <c r="A620" s="57">
        <v>45514</v>
      </c>
      <c r="B620" t="s">
        <v>119</v>
      </c>
      <c r="C620" t="s">
        <v>160</v>
      </c>
      <c r="D620" t="s">
        <v>72</v>
      </c>
      <c r="F620" s="24">
        <v>8000</v>
      </c>
      <c r="G620" s="24"/>
      <c r="H620" t="s">
        <v>507</v>
      </c>
      <c r="I620" s="74">
        <f t="shared" si="9"/>
        <v>0</v>
      </c>
    </row>
    <row r="621" spans="1:9" ht="15" customHeight="1" x14ac:dyDescent="0.25">
      <c r="A621" s="57">
        <v>45514</v>
      </c>
      <c r="B621" t="s">
        <v>119</v>
      </c>
      <c r="C621" t="s">
        <v>157</v>
      </c>
      <c r="D621" t="s">
        <v>88</v>
      </c>
      <c r="E621" t="s">
        <v>188</v>
      </c>
      <c r="F621" s="24"/>
      <c r="G621" s="24">
        <v>8000</v>
      </c>
      <c r="H621" t="s">
        <v>507</v>
      </c>
      <c r="I621" s="74">
        <f t="shared" si="9"/>
        <v>0</v>
      </c>
    </row>
    <row r="622" spans="1:9" ht="15" customHeight="1" x14ac:dyDescent="0.25">
      <c r="A622" s="57">
        <v>45515</v>
      </c>
      <c r="B622" t="s">
        <v>120</v>
      </c>
      <c r="C622" t="s">
        <v>160</v>
      </c>
      <c r="D622" t="s">
        <v>81</v>
      </c>
      <c r="F622" s="24">
        <v>1500</v>
      </c>
      <c r="G622" s="24"/>
      <c r="H622" t="s">
        <v>508</v>
      </c>
      <c r="I622" s="74">
        <f t="shared" si="9"/>
        <v>0</v>
      </c>
    </row>
    <row r="623" spans="1:9" ht="15" customHeight="1" x14ac:dyDescent="0.25">
      <c r="A623" s="57">
        <v>45515</v>
      </c>
      <c r="B623" t="s">
        <v>120</v>
      </c>
      <c r="C623" t="s">
        <v>157</v>
      </c>
      <c r="D623" t="s">
        <v>88</v>
      </c>
      <c r="E623" t="s">
        <v>188</v>
      </c>
      <c r="F623" s="24"/>
      <c r="G623" s="24">
        <v>1500</v>
      </c>
      <c r="H623" t="s">
        <v>508</v>
      </c>
      <c r="I623" s="74">
        <f t="shared" si="9"/>
        <v>0</v>
      </c>
    </row>
    <row r="624" spans="1:9" ht="15" customHeight="1" x14ac:dyDescent="0.25">
      <c r="A624" s="57">
        <v>45516</v>
      </c>
      <c r="B624" t="s">
        <v>121</v>
      </c>
      <c r="C624" t="s">
        <v>160</v>
      </c>
      <c r="D624" t="s">
        <v>71</v>
      </c>
      <c r="F624" s="24">
        <v>2000</v>
      </c>
      <c r="G624" s="24"/>
      <c r="H624" t="s">
        <v>509</v>
      </c>
      <c r="I624" s="74">
        <f t="shared" si="9"/>
        <v>0</v>
      </c>
    </row>
    <row r="625" spans="1:9" ht="15" customHeight="1" x14ac:dyDescent="0.25">
      <c r="A625" s="57">
        <v>45516</v>
      </c>
      <c r="B625" t="s">
        <v>121</v>
      </c>
      <c r="C625" t="s">
        <v>157</v>
      </c>
      <c r="D625" t="s">
        <v>88</v>
      </c>
      <c r="E625" t="s">
        <v>188</v>
      </c>
      <c r="F625" s="24"/>
      <c r="G625" s="24">
        <v>2000</v>
      </c>
      <c r="H625" t="s">
        <v>509</v>
      </c>
      <c r="I625" s="74">
        <f t="shared" si="9"/>
        <v>0</v>
      </c>
    </row>
    <row r="626" spans="1:9" ht="15" customHeight="1" x14ac:dyDescent="0.25">
      <c r="A626" s="57">
        <v>45517</v>
      </c>
      <c r="B626" t="s">
        <v>125</v>
      </c>
      <c r="C626" t="s">
        <v>160</v>
      </c>
      <c r="D626" t="s">
        <v>76</v>
      </c>
      <c r="F626" s="24">
        <v>500</v>
      </c>
      <c r="G626" s="24"/>
      <c r="H626" t="s">
        <v>510</v>
      </c>
      <c r="I626" s="74">
        <f t="shared" si="9"/>
        <v>0</v>
      </c>
    </row>
    <row r="627" spans="1:9" ht="15" customHeight="1" x14ac:dyDescent="0.25">
      <c r="A627" s="57">
        <v>45517</v>
      </c>
      <c r="B627" t="s">
        <v>125</v>
      </c>
      <c r="C627" t="s">
        <v>157</v>
      </c>
      <c r="D627" t="s">
        <v>88</v>
      </c>
      <c r="E627" t="s">
        <v>188</v>
      </c>
      <c r="F627" s="24"/>
      <c r="G627" s="24">
        <v>500</v>
      </c>
      <c r="H627" t="s">
        <v>510</v>
      </c>
      <c r="I627" s="74">
        <f t="shared" si="9"/>
        <v>0</v>
      </c>
    </row>
    <row r="628" spans="1:9" ht="15" customHeight="1" x14ac:dyDescent="0.25">
      <c r="A628" s="57">
        <v>45518</v>
      </c>
      <c r="B628" t="s">
        <v>128</v>
      </c>
      <c r="C628" t="s">
        <v>160</v>
      </c>
      <c r="D628" t="s">
        <v>75</v>
      </c>
      <c r="F628" s="24">
        <v>1500</v>
      </c>
      <c r="G628" s="24"/>
      <c r="H628" t="s">
        <v>511</v>
      </c>
      <c r="I628" s="74">
        <f t="shared" si="9"/>
        <v>0</v>
      </c>
    </row>
    <row r="629" spans="1:9" ht="15" customHeight="1" x14ac:dyDescent="0.25">
      <c r="A629" s="57">
        <v>45518</v>
      </c>
      <c r="B629" t="s">
        <v>128</v>
      </c>
      <c r="C629" t="s">
        <v>157</v>
      </c>
      <c r="D629" t="s">
        <v>88</v>
      </c>
      <c r="E629" t="s">
        <v>188</v>
      </c>
      <c r="F629" s="24"/>
      <c r="G629" s="24">
        <v>1500</v>
      </c>
      <c r="H629" t="s">
        <v>511</v>
      </c>
      <c r="I629" s="74">
        <f t="shared" si="9"/>
        <v>0</v>
      </c>
    </row>
    <row r="630" spans="1:9" ht="15" customHeight="1" x14ac:dyDescent="0.25">
      <c r="A630" s="57">
        <v>45530</v>
      </c>
      <c r="B630" t="s">
        <v>204</v>
      </c>
      <c r="C630" t="s">
        <v>160</v>
      </c>
      <c r="D630" t="s">
        <v>67</v>
      </c>
      <c r="F630" s="24">
        <v>13500</v>
      </c>
      <c r="G630" s="24"/>
      <c r="H630" t="s">
        <v>512</v>
      </c>
      <c r="I630" s="74">
        <f t="shared" si="9"/>
        <v>0</v>
      </c>
    </row>
    <row r="631" spans="1:9" ht="15" customHeight="1" x14ac:dyDescent="0.25">
      <c r="A631" s="57">
        <v>45530</v>
      </c>
      <c r="B631" t="s">
        <v>204</v>
      </c>
      <c r="C631" t="s">
        <v>157</v>
      </c>
      <c r="D631" t="s">
        <v>92</v>
      </c>
      <c r="F631" s="24"/>
      <c r="G631" s="24">
        <v>13500</v>
      </c>
      <c r="H631" t="s">
        <v>512</v>
      </c>
      <c r="I631" s="74">
        <f t="shared" si="9"/>
        <v>0</v>
      </c>
    </row>
    <row r="632" spans="1:9" ht="15" customHeight="1" x14ac:dyDescent="0.25">
      <c r="A632" s="57">
        <v>45531</v>
      </c>
      <c r="B632" t="s">
        <v>207</v>
      </c>
      <c r="C632" t="s">
        <v>160</v>
      </c>
      <c r="D632" t="s">
        <v>73</v>
      </c>
      <c r="F632" s="24">
        <v>700</v>
      </c>
      <c r="G632" s="24"/>
      <c r="H632" t="s">
        <v>513</v>
      </c>
      <c r="I632" s="74">
        <f t="shared" si="9"/>
        <v>0</v>
      </c>
    </row>
    <row r="633" spans="1:9" ht="15" customHeight="1" x14ac:dyDescent="0.25">
      <c r="A633" s="57">
        <v>45531</v>
      </c>
      <c r="B633" t="s">
        <v>207</v>
      </c>
      <c r="C633" t="s">
        <v>157</v>
      </c>
      <c r="D633" t="s">
        <v>100</v>
      </c>
      <c r="F633" s="24"/>
      <c r="G633" s="24">
        <v>700</v>
      </c>
      <c r="H633" t="s">
        <v>513</v>
      </c>
      <c r="I633" s="74">
        <f t="shared" si="9"/>
        <v>0</v>
      </c>
    </row>
    <row r="634" spans="1:9" ht="15" customHeight="1" x14ac:dyDescent="0.25">
      <c r="A634" s="57">
        <v>45537</v>
      </c>
      <c r="B634" t="s">
        <v>181</v>
      </c>
      <c r="C634" t="s">
        <v>157</v>
      </c>
      <c r="D634" t="s">
        <v>90</v>
      </c>
      <c r="F634" s="24">
        <v>21000</v>
      </c>
      <c r="G634" s="24"/>
      <c r="H634" t="s">
        <v>514</v>
      </c>
      <c r="I634" s="74">
        <f t="shared" si="9"/>
        <v>0</v>
      </c>
    </row>
    <row r="635" spans="1:9" ht="15" customHeight="1" x14ac:dyDescent="0.25">
      <c r="A635" s="57">
        <v>45537</v>
      </c>
      <c r="B635" t="s">
        <v>181</v>
      </c>
      <c r="C635" t="s">
        <v>60</v>
      </c>
      <c r="D635" t="s">
        <v>63</v>
      </c>
      <c r="F635" s="24"/>
      <c r="G635" s="24">
        <v>21000</v>
      </c>
      <c r="H635" t="s">
        <v>514</v>
      </c>
      <c r="I635" s="74">
        <f t="shared" si="9"/>
        <v>0</v>
      </c>
    </row>
    <row r="636" spans="1:9" ht="15" customHeight="1" x14ac:dyDescent="0.25">
      <c r="A636" s="57">
        <v>45538</v>
      </c>
      <c r="B636" t="s">
        <v>184</v>
      </c>
      <c r="C636" t="s">
        <v>157</v>
      </c>
      <c r="D636" t="s">
        <v>92</v>
      </c>
      <c r="F636" s="24">
        <v>17500</v>
      </c>
      <c r="G636" s="24"/>
      <c r="H636" t="s">
        <v>515</v>
      </c>
      <c r="I636" s="74">
        <f t="shared" si="9"/>
        <v>0</v>
      </c>
    </row>
    <row r="637" spans="1:9" ht="15" customHeight="1" x14ac:dyDescent="0.25">
      <c r="A637" s="57">
        <v>45538</v>
      </c>
      <c r="B637" t="s">
        <v>184</v>
      </c>
      <c r="C637" t="s">
        <v>158</v>
      </c>
      <c r="D637" t="s">
        <v>89</v>
      </c>
      <c r="F637" s="24"/>
      <c r="G637" s="24">
        <v>17500</v>
      </c>
      <c r="H637" t="s">
        <v>515</v>
      </c>
      <c r="I637" s="74">
        <f t="shared" si="9"/>
        <v>0</v>
      </c>
    </row>
    <row r="638" spans="1:9" ht="15" customHeight="1" x14ac:dyDescent="0.25">
      <c r="A638" s="57">
        <v>45539</v>
      </c>
      <c r="B638" t="s">
        <v>122</v>
      </c>
      <c r="C638" t="s">
        <v>158</v>
      </c>
      <c r="D638" t="s">
        <v>89</v>
      </c>
      <c r="F638" s="24">
        <v>0</v>
      </c>
      <c r="G638" s="24"/>
      <c r="H638" t="s">
        <v>516</v>
      </c>
      <c r="I638" s="74">
        <f t="shared" si="9"/>
        <v>0</v>
      </c>
    </row>
    <row r="639" spans="1:9" ht="15" customHeight="1" x14ac:dyDescent="0.25">
      <c r="A639" s="57">
        <v>45539</v>
      </c>
      <c r="B639" t="s">
        <v>122</v>
      </c>
      <c r="C639" t="s">
        <v>157</v>
      </c>
      <c r="D639" t="s">
        <v>88</v>
      </c>
      <c r="E639" t="s">
        <v>188</v>
      </c>
      <c r="F639" s="24"/>
      <c r="G639" s="24">
        <v>0</v>
      </c>
      <c r="H639" t="s">
        <v>516</v>
      </c>
      <c r="I639" s="74">
        <f t="shared" si="9"/>
        <v>0</v>
      </c>
    </row>
    <row r="640" spans="1:9" ht="15" customHeight="1" x14ac:dyDescent="0.25">
      <c r="A640" s="57">
        <v>45540</v>
      </c>
      <c r="B640" t="s">
        <v>115</v>
      </c>
      <c r="C640" t="s">
        <v>157</v>
      </c>
      <c r="D640" t="s">
        <v>88</v>
      </c>
      <c r="E640" t="s">
        <v>190</v>
      </c>
      <c r="F640" s="24">
        <v>12000</v>
      </c>
      <c r="G640" s="24"/>
      <c r="H640" t="s">
        <v>517</v>
      </c>
      <c r="I640" s="74">
        <f t="shared" si="9"/>
        <v>0</v>
      </c>
    </row>
    <row r="641" spans="1:9" ht="15" customHeight="1" x14ac:dyDescent="0.25">
      <c r="A641" s="57">
        <v>45540</v>
      </c>
      <c r="B641" t="s">
        <v>115</v>
      </c>
      <c r="C641" t="s">
        <v>60</v>
      </c>
      <c r="D641" t="s">
        <v>63</v>
      </c>
      <c r="F641" s="24"/>
      <c r="G641" s="24">
        <v>12000</v>
      </c>
      <c r="H641" t="s">
        <v>517</v>
      </c>
      <c r="I641" s="74">
        <f t="shared" si="9"/>
        <v>0</v>
      </c>
    </row>
    <row r="642" spans="1:9" ht="15" customHeight="1" x14ac:dyDescent="0.25">
      <c r="A642" s="57">
        <v>45541</v>
      </c>
      <c r="B642" t="s">
        <v>113</v>
      </c>
      <c r="C642" t="s">
        <v>157</v>
      </c>
      <c r="D642" t="s">
        <v>88</v>
      </c>
      <c r="E642" t="s">
        <v>190</v>
      </c>
      <c r="F642" s="24">
        <v>4500</v>
      </c>
      <c r="G642" s="24"/>
      <c r="H642" t="s">
        <v>518</v>
      </c>
      <c r="I642" s="74">
        <f t="shared" ref="I642:I705" si="10">SUMIF($H:$H,H642,$F:$F)-SUMIF($H:$H,H642,$G:$G)</f>
        <v>0</v>
      </c>
    </row>
    <row r="643" spans="1:9" ht="15" customHeight="1" x14ac:dyDescent="0.25">
      <c r="A643" s="57">
        <v>45541</v>
      </c>
      <c r="B643" t="s">
        <v>113</v>
      </c>
      <c r="C643" t="s">
        <v>60</v>
      </c>
      <c r="D643" t="s">
        <v>61</v>
      </c>
      <c r="F643" s="24"/>
      <c r="G643" s="24">
        <v>4500</v>
      </c>
      <c r="H643" t="s">
        <v>518</v>
      </c>
      <c r="I643" s="74">
        <f t="shared" si="10"/>
        <v>0</v>
      </c>
    </row>
    <row r="644" spans="1:9" ht="15" customHeight="1" x14ac:dyDescent="0.25">
      <c r="A644" s="57">
        <v>45542</v>
      </c>
      <c r="B644" t="s">
        <v>194</v>
      </c>
      <c r="C644" t="s">
        <v>157</v>
      </c>
      <c r="D644" t="s">
        <v>90</v>
      </c>
      <c r="F644" s="24">
        <v>6000</v>
      </c>
      <c r="G644" s="24"/>
      <c r="H644" t="s">
        <v>519</v>
      </c>
      <c r="I644" s="74">
        <f t="shared" si="10"/>
        <v>0</v>
      </c>
    </row>
    <row r="645" spans="1:9" ht="15" customHeight="1" x14ac:dyDescent="0.25">
      <c r="A645" s="57">
        <v>45542</v>
      </c>
      <c r="B645" t="s">
        <v>194</v>
      </c>
      <c r="C645" t="s">
        <v>60</v>
      </c>
      <c r="D645" t="s">
        <v>64</v>
      </c>
      <c r="F645" s="24"/>
      <c r="G645" s="24">
        <v>6000</v>
      </c>
      <c r="H645" t="s">
        <v>519</v>
      </c>
      <c r="I645" s="74">
        <f t="shared" si="10"/>
        <v>0</v>
      </c>
    </row>
    <row r="646" spans="1:9" ht="15" customHeight="1" x14ac:dyDescent="0.25">
      <c r="A646" s="57">
        <v>45543</v>
      </c>
      <c r="B646" t="s">
        <v>114</v>
      </c>
      <c r="C646" t="s">
        <v>157</v>
      </c>
      <c r="D646" t="s">
        <v>88</v>
      </c>
      <c r="E646" t="s">
        <v>190</v>
      </c>
      <c r="F646" s="24">
        <v>27000</v>
      </c>
      <c r="G646" s="24"/>
      <c r="H646" t="s">
        <v>520</v>
      </c>
      <c r="I646" s="74">
        <f t="shared" si="10"/>
        <v>0</v>
      </c>
    </row>
    <row r="647" spans="1:9" ht="15" customHeight="1" x14ac:dyDescent="0.25">
      <c r="A647" s="57">
        <v>45543</v>
      </c>
      <c r="B647" t="s">
        <v>114</v>
      </c>
      <c r="C647" t="s">
        <v>157</v>
      </c>
      <c r="D647" t="s">
        <v>90</v>
      </c>
      <c r="F647" s="24"/>
      <c r="G647" s="24">
        <v>27000</v>
      </c>
      <c r="H647" t="s">
        <v>520</v>
      </c>
      <c r="I647" s="74">
        <f t="shared" si="10"/>
        <v>0</v>
      </c>
    </row>
    <row r="648" spans="1:9" ht="15" customHeight="1" x14ac:dyDescent="0.25">
      <c r="A648" s="57">
        <v>45544</v>
      </c>
      <c r="B648" t="s">
        <v>118</v>
      </c>
      <c r="C648" t="s">
        <v>160</v>
      </c>
      <c r="D648" t="s">
        <v>77</v>
      </c>
      <c r="F648" s="24">
        <v>5000</v>
      </c>
      <c r="G648" s="24"/>
      <c r="H648" t="s">
        <v>521</v>
      </c>
      <c r="I648" s="74">
        <f t="shared" si="10"/>
        <v>0</v>
      </c>
    </row>
    <row r="649" spans="1:9" ht="15" customHeight="1" x14ac:dyDescent="0.25">
      <c r="A649" s="57">
        <v>45544</v>
      </c>
      <c r="B649" t="s">
        <v>118</v>
      </c>
      <c r="C649" t="s">
        <v>157</v>
      </c>
      <c r="D649" t="s">
        <v>88</v>
      </c>
      <c r="E649" t="s">
        <v>188</v>
      </c>
      <c r="F649" s="24"/>
      <c r="G649" s="24">
        <v>5000</v>
      </c>
      <c r="H649" t="s">
        <v>521</v>
      </c>
      <c r="I649" s="74">
        <f t="shared" si="10"/>
        <v>0</v>
      </c>
    </row>
    <row r="650" spans="1:9" ht="15" customHeight="1" x14ac:dyDescent="0.25">
      <c r="A650" s="57">
        <v>45545</v>
      </c>
      <c r="B650" t="s">
        <v>119</v>
      </c>
      <c r="C650" t="s">
        <v>160</v>
      </c>
      <c r="D650" t="s">
        <v>72</v>
      </c>
      <c r="F650" s="24">
        <v>5500</v>
      </c>
      <c r="G650" s="24"/>
      <c r="H650" t="s">
        <v>522</v>
      </c>
      <c r="I650" s="74">
        <f t="shared" si="10"/>
        <v>0</v>
      </c>
    </row>
    <row r="651" spans="1:9" ht="15" customHeight="1" x14ac:dyDescent="0.25">
      <c r="A651" s="57">
        <v>45545</v>
      </c>
      <c r="B651" t="s">
        <v>119</v>
      </c>
      <c r="C651" t="s">
        <v>157</v>
      </c>
      <c r="D651" t="s">
        <v>88</v>
      </c>
      <c r="E651" t="s">
        <v>188</v>
      </c>
      <c r="F651" s="24"/>
      <c r="G651" s="24">
        <v>5500</v>
      </c>
      <c r="H651" t="s">
        <v>522</v>
      </c>
      <c r="I651" s="74">
        <f t="shared" si="10"/>
        <v>0</v>
      </c>
    </row>
    <row r="652" spans="1:9" ht="15" customHeight="1" x14ac:dyDescent="0.25">
      <c r="A652" s="57">
        <v>45546</v>
      </c>
      <c r="B652" t="s">
        <v>120</v>
      </c>
      <c r="C652" t="s">
        <v>160</v>
      </c>
      <c r="D652" t="s">
        <v>81</v>
      </c>
      <c r="F652" s="24">
        <v>2500</v>
      </c>
      <c r="G652" s="24"/>
      <c r="H652" t="s">
        <v>523</v>
      </c>
      <c r="I652" s="74">
        <f t="shared" si="10"/>
        <v>0</v>
      </c>
    </row>
    <row r="653" spans="1:9" ht="15" customHeight="1" x14ac:dyDescent="0.25">
      <c r="A653" s="57">
        <v>45546</v>
      </c>
      <c r="B653" t="s">
        <v>120</v>
      </c>
      <c r="C653" t="s">
        <v>157</v>
      </c>
      <c r="D653" t="s">
        <v>88</v>
      </c>
      <c r="E653" t="s">
        <v>188</v>
      </c>
      <c r="F653" s="24"/>
      <c r="G653" s="24">
        <v>2500</v>
      </c>
      <c r="H653" t="s">
        <v>523</v>
      </c>
      <c r="I653" s="74">
        <f t="shared" si="10"/>
        <v>0</v>
      </c>
    </row>
    <row r="654" spans="1:9" ht="15" customHeight="1" x14ac:dyDescent="0.25">
      <c r="A654" s="57">
        <v>45547</v>
      </c>
      <c r="B654" t="s">
        <v>121</v>
      </c>
      <c r="C654" t="s">
        <v>160</v>
      </c>
      <c r="D654" t="s">
        <v>71</v>
      </c>
      <c r="F654" s="24">
        <v>2000</v>
      </c>
      <c r="G654" s="24"/>
      <c r="H654" t="s">
        <v>524</v>
      </c>
      <c r="I654" s="74">
        <f t="shared" si="10"/>
        <v>0</v>
      </c>
    </row>
    <row r="655" spans="1:9" ht="15" customHeight="1" x14ac:dyDescent="0.25">
      <c r="A655" s="57">
        <v>45547</v>
      </c>
      <c r="B655" t="s">
        <v>121</v>
      </c>
      <c r="C655" t="s">
        <v>157</v>
      </c>
      <c r="D655" t="s">
        <v>88</v>
      </c>
      <c r="E655" t="s">
        <v>188</v>
      </c>
      <c r="F655" s="24"/>
      <c r="G655" s="24">
        <v>2000</v>
      </c>
      <c r="H655" t="s">
        <v>524</v>
      </c>
      <c r="I655" s="74">
        <f t="shared" si="10"/>
        <v>0</v>
      </c>
    </row>
    <row r="656" spans="1:9" ht="15" customHeight="1" x14ac:dyDescent="0.25">
      <c r="A656" s="57">
        <v>45548</v>
      </c>
      <c r="B656" t="s">
        <v>126</v>
      </c>
      <c r="C656" t="s">
        <v>160</v>
      </c>
      <c r="D656" t="s">
        <v>79</v>
      </c>
      <c r="F656" s="24">
        <v>2000</v>
      </c>
      <c r="G656" s="24"/>
      <c r="H656" t="s">
        <v>525</v>
      </c>
      <c r="I656" s="74">
        <f t="shared" si="10"/>
        <v>0</v>
      </c>
    </row>
    <row r="657" spans="1:9" ht="15" customHeight="1" x14ac:dyDescent="0.25">
      <c r="A657" s="57">
        <v>45548</v>
      </c>
      <c r="B657" t="s">
        <v>126</v>
      </c>
      <c r="C657" t="s">
        <v>157</v>
      </c>
      <c r="D657" t="s">
        <v>88</v>
      </c>
      <c r="E657" t="s">
        <v>188</v>
      </c>
      <c r="F657" s="24"/>
      <c r="G657" s="24">
        <v>2000</v>
      </c>
      <c r="H657" t="s">
        <v>525</v>
      </c>
      <c r="I657" s="74">
        <f t="shared" si="10"/>
        <v>0</v>
      </c>
    </row>
    <row r="658" spans="1:9" ht="15" customHeight="1" x14ac:dyDescent="0.25">
      <c r="A658" s="57">
        <v>45549</v>
      </c>
      <c r="B658" t="s">
        <v>128</v>
      </c>
      <c r="C658" t="s">
        <v>160</v>
      </c>
      <c r="D658" t="s">
        <v>75</v>
      </c>
      <c r="F658" s="24">
        <v>1500</v>
      </c>
      <c r="G658" s="24"/>
      <c r="H658" t="s">
        <v>526</v>
      </c>
      <c r="I658" s="74">
        <f t="shared" si="10"/>
        <v>0</v>
      </c>
    </row>
    <row r="659" spans="1:9" ht="15" customHeight="1" x14ac:dyDescent="0.25">
      <c r="A659" s="57">
        <v>45549</v>
      </c>
      <c r="B659" t="s">
        <v>128</v>
      </c>
      <c r="C659" t="s">
        <v>157</v>
      </c>
      <c r="D659" t="s">
        <v>88</v>
      </c>
      <c r="E659" t="s">
        <v>188</v>
      </c>
      <c r="F659" s="24"/>
      <c r="G659" s="24">
        <v>1500</v>
      </c>
      <c r="H659" t="s">
        <v>526</v>
      </c>
      <c r="I659" s="74">
        <f t="shared" si="10"/>
        <v>0</v>
      </c>
    </row>
    <row r="660" spans="1:9" ht="15" customHeight="1" x14ac:dyDescent="0.25">
      <c r="A660" s="57">
        <v>45551</v>
      </c>
      <c r="B660" t="s">
        <v>136</v>
      </c>
      <c r="C660" t="s">
        <v>157</v>
      </c>
      <c r="D660" t="s">
        <v>98</v>
      </c>
      <c r="F660" s="24">
        <v>5000</v>
      </c>
      <c r="G660" s="24"/>
      <c r="H660" t="s">
        <v>527</v>
      </c>
      <c r="I660" s="74">
        <f t="shared" si="10"/>
        <v>0</v>
      </c>
    </row>
    <row r="661" spans="1:9" ht="15" customHeight="1" x14ac:dyDescent="0.25">
      <c r="A661" s="57">
        <v>45551</v>
      </c>
      <c r="B661" t="s">
        <v>136</v>
      </c>
      <c r="C661" t="s">
        <v>157</v>
      </c>
      <c r="D661" t="s">
        <v>88</v>
      </c>
      <c r="E661" t="s">
        <v>242</v>
      </c>
      <c r="F661" s="24"/>
      <c r="G661" s="24">
        <v>5000</v>
      </c>
      <c r="H661" t="s">
        <v>527</v>
      </c>
      <c r="I661" s="74">
        <f t="shared" si="10"/>
        <v>0</v>
      </c>
    </row>
    <row r="662" spans="1:9" ht="15" customHeight="1" x14ac:dyDescent="0.25">
      <c r="A662" s="57">
        <v>45553</v>
      </c>
      <c r="B662" t="s">
        <v>133</v>
      </c>
      <c r="C662" t="s">
        <v>157</v>
      </c>
      <c r="D662" t="s">
        <v>88</v>
      </c>
      <c r="E662" t="s">
        <v>243</v>
      </c>
      <c r="F662" s="24">
        <v>2000</v>
      </c>
      <c r="G662" s="24"/>
      <c r="H662" t="s">
        <v>528</v>
      </c>
      <c r="I662" s="74">
        <f t="shared" si="10"/>
        <v>0</v>
      </c>
    </row>
    <row r="663" spans="1:9" ht="15" customHeight="1" x14ac:dyDescent="0.25">
      <c r="A663" s="57">
        <v>45553</v>
      </c>
      <c r="B663" t="s">
        <v>133</v>
      </c>
      <c r="C663" t="s">
        <v>60</v>
      </c>
      <c r="D663" t="s">
        <v>62</v>
      </c>
      <c r="F663" s="24"/>
      <c r="G663" s="24">
        <v>2000</v>
      </c>
      <c r="H663" t="s">
        <v>528</v>
      </c>
      <c r="I663" s="74">
        <f t="shared" si="10"/>
        <v>0</v>
      </c>
    </row>
    <row r="664" spans="1:9" ht="15" customHeight="1" x14ac:dyDescent="0.25">
      <c r="A664" s="57">
        <v>45561</v>
      </c>
      <c r="B664" t="s">
        <v>204</v>
      </c>
      <c r="C664" t="s">
        <v>160</v>
      </c>
      <c r="D664" t="s">
        <v>67</v>
      </c>
      <c r="F664" s="24">
        <v>13500</v>
      </c>
      <c r="G664" s="24"/>
      <c r="H664" t="s">
        <v>529</v>
      </c>
      <c r="I664" s="74">
        <f t="shared" si="10"/>
        <v>0</v>
      </c>
    </row>
    <row r="665" spans="1:9" ht="15" customHeight="1" x14ac:dyDescent="0.25">
      <c r="A665" s="57">
        <v>45561</v>
      </c>
      <c r="B665" t="s">
        <v>204</v>
      </c>
      <c r="C665" t="s">
        <v>157</v>
      </c>
      <c r="D665" t="s">
        <v>92</v>
      </c>
      <c r="F665" s="24"/>
      <c r="G665" s="24">
        <v>13500</v>
      </c>
      <c r="H665" t="s">
        <v>529</v>
      </c>
      <c r="I665" s="74">
        <f t="shared" si="10"/>
        <v>0</v>
      </c>
    </row>
    <row r="666" spans="1:9" ht="15" customHeight="1" x14ac:dyDescent="0.25">
      <c r="A666" s="57">
        <v>45562</v>
      </c>
      <c r="B666" t="s">
        <v>207</v>
      </c>
      <c r="C666" t="s">
        <v>160</v>
      </c>
      <c r="D666" t="s">
        <v>73</v>
      </c>
      <c r="F666" s="24">
        <v>700</v>
      </c>
      <c r="G666" s="24"/>
      <c r="H666" t="s">
        <v>530</v>
      </c>
      <c r="I666" s="74">
        <f t="shared" si="10"/>
        <v>0</v>
      </c>
    </row>
    <row r="667" spans="1:9" ht="15" customHeight="1" x14ac:dyDescent="0.25">
      <c r="A667" s="57">
        <v>45562</v>
      </c>
      <c r="B667" t="s">
        <v>207</v>
      </c>
      <c r="C667" t="s">
        <v>157</v>
      </c>
      <c r="D667" t="s">
        <v>100</v>
      </c>
      <c r="F667" s="24"/>
      <c r="G667" s="24">
        <v>700</v>
      </c>
      <c r="H667" t="s">
        <v>530</v>
      </c>
      <c r="I667" s="74">
        <f t="shared" si="10"/>
        <v>0</v>
      </c>
    </row>
    <row r="668" spans="1:9" ht="15" customHeight="1" x14ac:dyDescent="0.25">
      <c r="A668" s="57">
        <v>45567</v>
      </c>
      <c r="B668" t="s">
        <v>181</v>
      </c>
      <c r="C668" t="s">
        <v>157</v>
      </c>
      <c r="D668" t="s">
        <v>90</v>
      </c>
      <c r="F668" s="24">
        <v>21000</v>
      </c>
      <c r="G668" s="24"/>
      <c r="H668" t="s">
        <v>531</v>
      </c>
      <c r="I668" s="74">
        <f t="shared" si="10"/>
        <v>0</v>
      </c>
    </row>
    <row r="669" spans="1:9" ht="15" customHeight="1" x14ac:dyDescent="0.25">
      <c r="A669" s="57">
        <v>45567</v>
      </c>
      <c r="B669" t="s">
        <v>181</v>
      </c>
      <c r="C669" t="s">
        <v>60</v>
      </c>
      <c r="D669" t="s">
        <v>63</v>
      </c>
      <c r="F669" s="24"/>
      <c r="G669" s="24">
        <v>21000</v>
      </c>
      <c r="H669" t="s">
        <v>531</v>
      </c>
      <c r="I669" s="74">
        <f t="shared" si="10"/>
        <v>0</v>
      </c>
    </row>
    <row r="670" spans="1:9" ht="15" customHeight="1" x14ac:dyDescent="0.25">
      <c r="A670" s="57">
        <v>45568</v>
      </c>
      <c r="B670" t="s">
        <v>184</v>
      </c>
      <c r="C670" t="s">
        <v>157</v>
      </c>
      <c r="D670" t="s">
        <v>92</v>
      </c>
      <c r="F670" s="24">
        <v>19000</v>
      </c>
      <c r="G670" s="24"/>
      <c r="H670" t="s">
        <v>532</v>
      </c>
      <c r="I670" s="74">
        <f t="shared" si="10"/>
        <v>0</v>
      </c>
    </row>
    <row r="671" spans="1:9" ht="15" customHeight="1" x14ac:dyDescent="0.25">
      <c r="A671" s="57">
        <v>45568</v>
      </c>
      <c r="B671" t="s">
        <v>184</v>
      </c>
      <c r="C671" t="s">
        <v>158</v>
      </c>
      <c r="D671" t="s">
        <v>89</v>
      </c>
      <c r="F671" s="24"/>
      <c r="G671" s="24">
        <v>19000</v>
      </c>
      <c r="H671" t="s">
        <v>532</v>
      </c>
      <c r="I671" s="74">
        <f t="shared" si="10"/>
        <v>0</v>
      </c>
    </row>
    <row r="672" spans="1:9" ht="15" customHeight="1" x14ac:dyDescent="0.25">
      <c r="A672" s="57">
        <v>45569</v>
      </c>
      <c r="B672" t="s">
        <v>122</v>
      </c>
      <c r="C672" t="s">
        <v>158</v>
      </c>
      <c r="D672" t="s">
        <v>89</v>
      </c>
      <c r="F672" s="24">
        <v>0</v>
      </c>
      <c r="G672" s="24"/>
      <c r="H672" t="s">
        <v>533</v>
      </c>
      <c r="I672" s="74">
        <f t="shared" si="10"/>
        <v>0</v>
      </c>
    </row>
    <row r="673" spans="1:9" ht="15" customHeight="1" x14ac:dyDescent="0.25">
      <c r="A673" s="57">
        <v>45569</v>
      </c>
      <c r="B673" t="s">
        <v>122</v>
      </c>
      <c r="C673" t="s">
        <v>157</v>
      </c>
      <c r="D673" t="s">
        <v>88</v>
      </c>
      <c r="E673" t="s">
        <v>188</v>
      </c>
      <c r="F673" s="24"/>
      <c r="G673" s="24">
        <v>0</v>
      </c>
      <c r="H673" t="s">
        <v>533</v>
      </c>
      <c r="I673" s="74">
        <f t="shared" si="10"/>
        <v>0</v>
      </c>
    </row>
    <row r="674" spans="1:9" ht="15" customHeight="1" x14ac:dyDescent="0.25">
      <c r="A674" s="57">
        <v>45570</v>
      </c>
      <c r="B674" t="s">
        <v>115</v>
      </c>
      <c r="C674" t="s">
        <v>157</v>
      </c>
      <c r="D674" t="s">
        <v>88</v>
      </c>
      <c r="E674" t="s">
        <v>190</v>
      </c>
      <c r="F674" s="24">
        <v>10000</v>
      </c>
      <c r="G674" s="24"/>
      <c r="H674" t="s">
        <v>534</v>
      </c>
      <c r="I674" s="74">
        <f t="shared" si="10"/>
        <v>0</v>
      </c>
    </row>
    <row r="675" spans="1:9" ht="15" customHeight="1" x14ac:dyDescent="0.25">
      <c r="A675" s="57">
        <v>45570</v>
      </c>
      <c r="B675" t="s">
        <v>115</v>
      </c>
      <c r="C675" t="s">
        <v>60</v>
      </c>
      <c r="D675" t="s">
        <v>63</v>
      </c>
      <c r="F675" s="24"/>
      <c r="G675" s="24">
        <v>10000</v>
      </c>
      <c r="H675" t="s">
        <v>534</v>
      </c>
      <c r="I675" s="74">
        <f t="shared" si="10"/>
        <v>0</v>
      </c>
    </row>
    <row r="676" spans="1:9" ht="15" customHeight="1" x14ac:dyDescent="0.25">
      <c r="A676" s="57">
        <v>45571</v>
      </c>
      <c r="B676" t="s">
        <v>113</v>
      </c>
      <c r="C676" t="s">
        <v>157</v>
      </c>
      <c r="D676" t="s">
        <v>88</v>
      </c>
      <c r="E676" t="s">
        <v>190</v>
      </c>
      <c r="F676" s="24">
        <v>4500</v>
      </c>
      <c r="G676" s="24"/>
      <c r="H676" t="s">
        <v>535</v>
      </c>
      <c r="I676" s="74">
        <f t="shared" si="10"/>
        <v>0</v>
      </c>
    </row>
    <row r="677" spans="1:9" ht="15" customHeight="1" x14ac:dyDescent="0.25">
      <c r="A677" s="57">
        <v>45571</v>
      </c>
      <c r="B677" t="s">
        <v>113</v>
      </c>
      <c r="C677" t="s">
        <v>60</v>
      </c>
      <c r="D677" t="s">
        <v>61</v>
      </c>
      <c r="F677" s="24"/>
      <c r="G677" s="24">
        <v>4500</v>
      </c>
      <c r="H677" t="s">
        <v>535</v>
      </c>
      <c r="I677" s="74">
        <f t="shared" si="10"/>
        <v>0</v>
      </c>
    </row>
    <row r="678" spans="1:9" ht="15" customHeight="1" x14ac:dyDescent="0.25">
      <c r="A678" s="57">
        <v>45572</v>
      </c>
      <c r="B678" t="s">
        <v>194</v>
      </c>
      <c r="C678" t="s">
        <v>157</v>
      </c>
      <c r="D678" t="s">
        <v>90</v>
      </c>
      <c r="F678" s="24">
        <v>7000</v>
      </c>
      <c r="G678" s="24"/>
      <c r="H678" t="s">
        <v>536</v>
      </c>
      <c r="I678" s="74">
        <f t="shared" si="10"/>
        <v>0</v>
      </c>
    </row>
    <row r="679" spans="1:9" ht="15" customHeight="1" x14ac:dyDescent="0.25">
      <c r="A679" s="57">
        <v>45572</v>
      </c>
      <c r="B679" t="s">
        <v>194</v>
      </c>
      <c r="C679" t="s">
        <v>60</v>
      </c>
      <c r="D679" t="s">
        <v>64</v>
      </c>
      <c r="F679" s="24"/>
      <c r="G679" s="24">
        <v>7000</v>
      </c>
      <c r="H679" t="s">
        <v>536</v>
      </c>
      <c r="I679" s="74">
        <f t="shared" si="10"/>
        <v>0</v>
      </c>
    </row>
    <row r="680" spans="1:9" ht="15" customHeight="1" x14ac:dyDescent="0.25">
      <c r="A680" s="57">
        <v>45573</v>
      </c>
      <c r="B680" t="s">
        <v>114</v>
      </c>
      <c r="C680" t="s">
        <v>157</v>
      </c>
      <c r="D680" t="s">
        <v>88</v>
      </c>
      <c r="E680" t="s">
        <v>190</v>
      </c>
      <c r="F680" s="24">
        <v>20000</v>
      </c>
      <c r="G680" s="24"/>
      <c r="H680" t="s">
        <v>537</v>
      </c>
      <c r="I680" s="74">
        <f t="shared" si="10"/>
        <v>0</v>
      </c>
    </row>
    <row r="681" spans="1:9" ht="15" customHeight="1" x14ac:dyDescent="0.25">
      <c r="A681" s="57">
        <v>45573</v>
      </c>
      <c r="B681" t="s">
        <v>114</v>
      </c>
      <c r="C681" t="s">
        <v>157</v>
      </c>
      <c r="D681" t="s">
        <v>90</v>
      </c>
      <c r="F681" s="24"/>
      <c r="G681" s="24">
        <v>20000</v>
      </c>
      <c r="H681" t="s">
        <v>537</v>
      </c>
      <c r="I681" s="74">
        <f t="shared" si="10"/>
        <v>0</v>
      </c>
    </row>
    <row r="682" spans="1:9" ht="15" customHeight="1" x14ac:dyDescent="0.25">
      <c r="A682" s="57">
        <v>45574</v>
      </c>
      <c r="B682" t="s">
        <v>118</v>
      </c>
      <c r="C682" t="s">
        <v>160</v>
      </c>
      <c r="D682" t="s">
        <v>77</v>
      </c>
      <c r="F682" s="24">
        <v>5500</v>
      </c>
      <c r="G682" s="24"/>
      <c r="H682" t="s">
        <v>538</v>
      </c>
      <c r="I682" s="74">
        <f t="shared" si="10"/>
        <v>0</v>
      </c>
    </row>
    <row r="683" spans="1:9" ht="15" customHeight="1" x14ac:dyDescent="0.25">
      <c r="A683" s="57">
        <v>45574</v>
      </c>
      <c r="B683" t="s">
        <v>118</v>
      </c>
      <c r="C683" t="s">
        <v>157</v>
      </c>
      <c r="D683" t="s">
        <v>88</v>
      </c>
      <c r="E683" t="s">
        <v>188</v>
      </c>
      <c r="F683" s="24"/>
      <c r="G683" s="24">
        <v>5500</v>
      </c>
      <c r="H683" t="s">
        <v>538</v>
      </c>
      <c r="I683" s="74">
        <f t="shared" si="10"/>
        <v>0</v>
      </c>
    </row>
    <row r="684" spans="1:9" ht="15" customHeight="1" x14ac:dyDescent="0.25">
      <c r="A684" s="57">
        <v>45575</v>
      </c>
      <c r="B684" t="s">
        <v>119</v>
      </c>
      <c r="C684" t="s">
        <v>160</v>
      </c>
      <c r="D684" t="s">
        <v>72</v>
      </c>
      <c r="F684" s="24">
        <v>6500</v>
      </c>
      <c r="G684" s="24"/>
      <c r="H684" t="s">
        <v>539</v>
      </c>
      <c r="I684" s="74">
        <f t="shared" si="10"/>
        <v>0</v>
      </c>
    </row>
    <row r="685" spans="1:9" ht="15" customHeight="1" x14ac:dyDescent="0.25">
      <c r="A685" s="57">
        <v>45575</v>
      </c>
      <c r="B685" t="s">
        <v>119</v>
      </c>
      <c r="C685" t="s">
        <v>157</v>
      </c>
      <c r="D685" t="s">
        <v>88</v>
      </c>
      <c r="E685" t="s">
        <v>188</v>
      </c>
      <c r="F685" s="24"/>
      <c r="G685" s="24">
        <v>6500</v>
      </c>
      <c r="H685" t="s">
        <v>539</v>
      </c>
      <c r="I685" s="74">
        <f t="shared" si="10"/>
        <v>0</v>
      </c>
    </row>
    <row r="686" spans="1:9" ht="15" customHeight="1" x14ac:dyDescent="0.25">
      <c r="A686" s="57">
        <v>45576</v>
      </c>
      <c r="B686" t="s">
        <v>120</v>
      </c>
      <c r="C686" t="s">
        <v>160</v>
      </c>
      <c r="D686" t="s">
        <v>81</v>
      </c>
      <c r="F686" s="24">
        <v>1500</v>
      </c>
      <c r="G686" s="24"/>
      <c r="H686" t="s">
        <v>540</v>
      </c>
      <c r="I686" s="74">
        <f t="shared" si="10"/>
        <v>0</v>
      </c>
    </row>
    <row r="687" spans="1:9" ht="15" customHeight="1" x14ac:dyDescent="0.25">
      <c r="A687" s="57">
        <v>45576</v>
      </c>
      <c r="B687" t="s">
        <v>120</v>
      </c>
      <c r="C687" t="s">
        <v>157</v>
      </c>
      <c r="D687" t="s">
        <v>88</v>
      </c>
      <c r="E687" t="s">
        <v>188</v>
      </c>
      <c r="F687" s="24"/>
      <c r="G687" s="24">
        <v>1500</v>
      </c>
      <c r="H687" t="s">
        <v>540</v>
      </c>
      <c r="I687" s="74">
        <f t="shared" si="10"/>
        <v>0</v>
      </c>
    </row>
    <row r="688" spans="1:9" ht="15" customHeight="1" x14ac:dyDescent="0.25">
      <c r="A688" s="57">
        <v>45577</v>
      </c>
      <c r="B688" t="s">
        <v>121</v>
      </c>
      <c r="C688" t="s">
        <v>160</v>
      </c>
      <c r="D688" t="s">
        <v>71</v>
      </c>
      <c r="F688" s="24">
        <v>2000</v>
      </c>
      <c r="G688" s="24"/>
      <c r="H688" t="s">
        <v>541</v>
      </c>
      <c r="I688" s="74">
        <f t="shared" si="10"/>
        <v>0</v>
      </c>
    </row>
    <row r="689" spans="1:9" ht="15" customHeight="1" x14ac:dyDescent="0.25">
      <c r="A689" s="57">
        <v>45577</v>
      </c>
      <c r="B689" t="s">
        <v>121</v>
      </c>
      <c r="C689" t="s">
        <v>157</v>
      </c>
      <c r="D689" t="s">
        <v>88</v>
      </c>
      <c r="E689" t="s">
        <v>188</v>
      </c>
      <c r="F689" s="24"/>
      <c r="G689" s="24">
        <v>2000</v>
      </c>
      <c r="H689" t="s">
        <v>541</v>
      </c>
      <c r="I689" s="74">
        <f t="shared" si="10"/>
        <v>0</v>
      </c>
    </row>
    <row r="690" spans="1:9" ht="15" customHeight="1" x14ac:dyDescent="0.25">
      <c r="A690" s="57">
        <v>45578</v>
      </c>
      <c r="B690" t="s">
        <v>127</v>
      </c>
      <c r="C690" t="s">
        <v>160</v>
      </c>
      <c r="D690" t="s">
        <v>78</v>
      </c>
      <c r="F690" s="24">
        <v>1500</v>
      </c>
      <c r="G690" s="24"/>
      <c r="H690" t="s">
        <v>542</v>
      </c>
      <c r="I690" s="74">
        <f t="shared" si="10"/>
        <v>0</v>
      </c>
    </row>
    <row r="691" spans="1:9" ht="15" customHeight="1" x14ac:dyDescent="0.25">
      <c r="A691" s="57">
        <v>45578</v>
      </c>
      <c r="B691" t="s">
        <v>127</v>
      </c>
      <c r="C691" t="s">
        <v>157</v>
      </c>
      <c r="D691" t="s">
        <v>88</v>
      </c>
      <c r="E691" t="s">
        <v>188</v>
      </c>
      <c r="F691" s="24"/>
      <c r="G691" s="24">
        <v>1500</v>
      </c>
      <c r="H691" t="s">
        <v>542</v>
      </c>
      <c r="I691" s="74">
        <f t="shared" si="10"/>
        <v>0</v>
      </c>
    </row>
    <row r="692" spans="1:9" ht="15" customHeight="1" x14ac:dyDescent="0.25">
      <c r="A692" s="57">
        <v>45579</v>
      </c>
      <c r="B692" t="s">
        <v>128</v>
      </c>
      <c r="C692" t="s">
        <v>160</v>
      </c>
      <c r="D692" t="s">
        <v>75</v>
      </c>
      <c r="F692" s="24">
        <v>1000</v>
      </c>
      <c r="G692" s="24"/>
      <c r="H692" t="s">
        <v>543</v>
      </c>
      <c r="I692" s="74">
        <f t="shared" si="10"/>
        <v>0</v>
      </c>
    </row>
    <row r="693" spans="1:9" ht="15" customHeight="1" x14ac:dyDescent="0.25">
      <c r="A693" s="57">
        <v>45579</v>
      </c>
      <c r="B693" t="s">
        <v>128</v>
      </c>
      <c r="C693" t="s">
        <v>157</v>
      </c>
      <c r="D693" t="s">
        <v>88</v>
      </c>
      <c r="E693" t="s">
        <v>188</v>
      </c>
      <c r="F693" s="24"/>
      <c r="G693" s="24">
        <v>1000</v>
      </c>
      <c r="H693" t="s">
        <v>543</v>
      </c>
      <c r="I693" s="74">
        <f t="shared" si="10"/>
        <v>0</v>
      </c>
    </row>
    <row r="694" spans="1:9" ht="15" customHeight="1" x14ac:dyDescent="0.25">
      <c r="A694" s="57">
        <v>45591</v>
      </c>
      <c r="B694" t="s">
        <v>204</v>
      </c>
      <c r="C694" t="s">
        <v>160</v>
      </c>
      <c r="D694" t="s">
        <v>67</v>
      </c>
      <c r="F694" s="24">
        <v>13000</v>
      </c>
      <c r="G694" s="24"/>
      <c r="H694" t="s">
        <v>544</v>
      </c>
      <c r="I694" s="74">
        <f t="shared" si="10"/>
        <v>0</v>
      </c>
    </row>
    <row r="695" spans="1:9" ht="15" customHeight="1" x14ac:dyDescent="0.25">
      <c r="A695" s="57">
        <v>45591</v>
      </c>
      <c r="B695" t="s">
        <v>204</v>
      </c>
      <c r="C695" t="s">
        <v>157</v>
      </c>
      <c r="D695" t="s">
        <v>92</v>
      </c>
      <c r="F695" s="24"/>
      <c r="G695" s="24">
        <v>13000</v>
      </c>
      <c r="H695" t="s">
        <v>544</v>
      </c>
      <c r="I695" s="74">
        <f t="shared" si="10"/>
        <v>0</v>
      </c>
    </row>
    <row r="696" spans="1:9" ht="15" customHeight="1" x14ac:dyDescent="0.25">
      <c r="A696" s="57">
        <v>45592</v>
      </c>
      <c r="B696" t="s">
        <v>207</v>
      </c>
      <c r="C696" t="s">
        <v>160</v>
      </c>
      <c r="D696" t="s">
        <v>73</v>
      </c>
      <c r="F696" s="24">
        <v>800</v>
      </c>
      <c r="G696" s="24"/>
      <c r="H696" t="s">
        <v>545</v>
      </c>
      <c r="I696" s="74">
        <f t="shared" si="10"/>
        <v>0</v>
      </c>
    </row>
    <row r="697" spans="1:9" ht="15" customHeight="1" x14ac:dyDescent="0.25">
      <c r="A697" s="57">
        <v>45592</v>
      </c>
      <c r="B697" t="s">
        <v>207</v>
      </c>
      <c r="C697" t="s">
        <v>157</v>
      </c>
      <c r="D697" t="s">
        <v>100</v>
      </c>
      <c r="F697" s="24"/>
      <c r="G697" s="24">
        <v>800</v>
      </c>
      <c r="H697" t="s">
        <v>545</v>
      </c>
      <c r="I697" s="74">
        <f t="shared" si="10"/>
        <v>0</v>
      </c>
    </row>
    <row r="698" spans="1:9" ht="15" customHeight="1" x14ac:dyDescent="0.25">
      <c r="A698" s="57">
        <v>45598</v>
      </c>
      <c r="B698" t="s">
        <v>181</v>
      </c>
      <c r="C698" t="s">
        <v>157</v>
      </c>
      <c r="D698" t="s">
        <v>90</v>
      </c>
      <c r="F698" s="24">
        <v>29000</v>
      </c>
      <c r="G698" s="24"/>
      <c r="H698" t="s">
        <v>546</v>
      </c>
      <c r="I698" s="74">
        <f t="shared" si="10"/>
        <v>0</v>
      </c>
    </row>
    <row r="699" spans="1:9" ht="15" customHeight="1" x14ac:dyDescent="0.25">
      <c r="A699" s="57">
        <v>45598</v>
      </c>
      <c r="B699" t="s">
        <v>181</v>
      </c>
      <c r="C699" t="s">
        <v>60</v>
      </c>
      <c r="D699" t="s">
        <v>63</v>
      </c>
      <c r="F699" s="24"/>
      <c r="G699" s="24">
        <v>29000</v>
      </c>
      <c r="H699" t="s">
        <v>546</v>
      </c>
      <c r="I699" s="74">
        <f t="shared" si="10"/>
        <v>0</v>
      </c>
    </row>
    <row r="700" spans="1:9" ht="15" customHeight="1" x14ac:dyDescent="0.25">
      <c r="A700" s="57">
        <v>45599</v>
      </c>
      <c r="B700" t="s">
        <v>184</v>
      </c>
      <c r="C700" t="s">
        <v>157</v>
      </c>
      <c r="D700" t="s">
        <v>92</v>
      </c>
      <c r="F700" s="24">
        <v>19000</v>
      </c>
      <c r="G700" s="24"/>
      <c r="H700" t="s">
        <v>547</v>
      </c>
      <c r="I700" s="74">
        <f t="shared" si="10"/>
        <v>0</v>
      </c>
    </row>
    <row r="701" spans="1:9" ht="15" customHeight="1" x14ac:dyDescent="0.25">
      <c r="A701" s="57">
        <v>45599</v>
      </c>
      <c r="B701" t="s">
        <v>184</v>
      </c>
      <c r="C701" t="s">
        <v>158</v>
      </c>
      <c r="D701" t="s">
        <v>89</v>
      </c>
      <c r="F701" s="24"/>
      <c r="G701" s="24">
        <v>19000</v>
      </c>
      <c r="H701" t="s">
        <v>547</v>
      </c>
      <c r="I701" s="74">
        <f t="shared" si="10"/>
        <v>0</v>
      </c>
    </row>
    <row r="702" spans="1:9" ht="15" customHeight="1" x14ac:dyDescent="0.25">
      <c r="A702" s="57">
        <v>45600</v>
      </c>
      <c r="B702" t="s">
        <v>122</v>
      </c>
      <c r="C702" t="s">
        <v>158</v>
      </c>
      <c r="D702" t="s">
        <v>89</v>
      </c>
      <c r="F702" s="24">
        <v>0</v>
      </c>
      <c r="G702" s="24"/>
      <c r="H702" t="s">
        <v>548</v>
      </c>
      <c r="I702" s="74">
        <f t="shared" si="10"/>
        <v>0</v>
      </c>
    </row>
    <row r="703" spans="1:9" ht="15" customHeight="1" x14ac:dyDescent="0.25">
      <c r="A703" s="57">
        <v>45600</v>
      </c>
      <c r="B703" t="s">
        <v>122</v>
      </c>
      <c r="C703" t="s">
        <v>157</v>
      </c>
      <c r="D703" t="s">
        <v>88</v>
      </c>
      <c r="E703" t="s">
        <v>188</v>
      </c>
      <c r="F703" s="24"/>
      <c r="G703" s="24">
        <v>0</v>
      </c>
      <c r="H703" t="s">
        <v>548</v>
      </c>
      <c r="I703" s="74">
        <f t="shared" si="10"/>
        <v>0</v>
      </c>
    </row>
    <row r="704" spans="1:9" ht="15" customHeight="1" x14ac:dyDescent="0.25">
      <c r="A704" s="57">
        <v>45601</v>
      </c>
      <c r="B704" t="s">
        <v>115</v>
      </c>
      <c r="C704" t="s">
        <v>157</v>
      </c>
      <c r="D704" t="s">
        <v>88</v>
      </c>
      <c r="E704" t="s">
        <v>190</v>
      </c>
      <c r="F704" s="24">
        <v>14000</v>
      </c>
      <c r="G704" s="24"/>
      <c r="H704" t="s">
        <v>549</v>
      </c>
      <c r="I704" s="74">
        <f t="shared" si="10"/>
        <v>0</v>
      </c>
    </row>
    <row r="705" spans="1:9" ht="15" customHeight="1" x14ac:dyDescent="0.25">
      <c r="A705" s="57">
        <v>45601</v>
      </c>
      <c r="B705" t="s">
        <v>115</v>
      </c>
      <c r="C705" t="s">
        <v>60</v>
      </c>
      <c r="D705" t="s">
        <v>63</v>
      </c>
      <c r="F705" s="24"/>
      <c r="G705" s="24">
        <v>14000</v>
      </c>
      <c r="H705" t="s">
        <v>549</v>
      </c>
      <c r="I705" s="74">
        <f t="shared" si="10"/>
        <v>0</v>
      </c>
    </row>
    <row r="706" spans="1:9" ht="15" customHeight="1" x14ac:dyDescent="0.25">
      <c r="A706" s="57">
        <v>45602</v>
      </c>
      <c r="B706" t="s">
        <v>113</v>
      </c>
      <c r="C706" t="s">
        <v>157</v>
      </c>
      <c r="D706" t="s">
        <v>88</v>
      </c>
      <c r="E706" t="s">
        <v>190</v>
      </c>
      <c r="F706" s="24">
        <v>5500</v>
      </c>
      <c r="G706" s="24"/>
      <c r="H706" t="s">
        <v>550</v>
      </c>
      <c r="I706" s="74">
        <f t="shared" ref="I706:I769" si="11">SUMIF($H:$H,H706,$F:$F)-SUMIF($H:$H,H706,$G:$G)</f>
        <v>0</v>
      </c>
    </row>
    <row r="707" spans="1:9" ht="15" customHeight="1" x14ac:dyDescent="0.25">
      <c r="A707" s="57">
        <v>45602</v>
      </c>
      <c r="B707" t="s">
        <v>113</v>
      </c>
      <c r="C707" t="s">
        <v>60</v>
      </c>
      <c r="D707" t="s">
        <v>61</v>
      </c>
      <c r="F707" s="24"/>
      <c r="G707" s="24">
        <v>5500</v>
      </c>
      <c r="H707" t="s">
        <v>550</v>
      </c>
      <c r="I707" s="74">
        <f t="shared" si="11"/>
        <v>0</v>
      </c>
    </row>
    <row r="708" spans="1:9" ht="15" customHeight="1" x14ac:dyDescent="0.25">
      <c r="A708" s="57">
        <v>45603</v>
      </c>
      <c r="B708" t="s">
        <v>194</v>
      </c>
      <c r="C708" t="s">
        <v>157</v>
      </c>
      <c r="D708" t="s">
        <v>90</v>
      </c>
      <c r="F708" s="24">
        <v>10000</v>
      </c>
      <c r="G708" s="24"/>
      <c r="H708" t="s">
        <v>551</v>
      </c>
      <c r="I708" s="74">
        <f t="shared" si="11"/>
        <v>0</v>
      </c>
    </row>
    <row r="709" spans="1:9" ht="15" customHeight="1" x14ac:dyDescent="0.25">
      <c r="A709" s="57">
        <v>45603</v>
      </c>
      <c r="B709" t="s">
        <v>194</v>
      </c>
      <c r="C709" t="s">
        <v>60</v>
      </c>
      <c r="D709" t="s">
        <v>64</v>
      </c>
      <c r="F709" s="24"/>
      <c r="G709" s="24">
        <v>10000</v>
      </c>
      <c r="H709" t="s">
        <v>551</v>
      </c>
      <c r="I709" s="74">
        <f t="shared" si="11"/>
        <v>0</v>
      </c>
    </row>
    <row r="710" spans="1:9" ht="15" customHeight="1" x14ac:dyDescent="0.25">
      <c r="A710" s="57">
        <v>45604</v>
      </c>
      <c r="B710" t="s">
        <v>114</v>
      </c>
      <c r="C710" t="s">
        <v>157</v>
      </c>
      <c r="D710" t="s">
        <v>88</v>
      </c>
      <c r="E710" t="s">
        <v>190</v>
      </c>
      <c r="F710" s="24">
        <v>26000</v>
      </c>
      <c r="G710" s="24"/>
      <c r="H710" t="s">
        <v>552</v>
      </c>
      <c r="I710" s="74">
        <f t="shared" si="11"/>
        <v>0</v>
      </c>
    </row>
    <row r="711" spans="1:9" ht="15" customHeight="1" x14ac:dyDescent="0.25">
      <c r="A711" s="57">
        <v>45604</v>
      </c>
      <c r="B711" t="s">
        <v>114</v>
      </c>
      <c r="C711" t="s">
        <v>157</v>
      </c>
      <c r="D711" t="s">
        <v>90</v>
      </c>
      <c r="F711" s="24"/>
      <c r="G711" s="24">
        <v>26000</v>
      </c>
      <c r="H711" t="s">
        <v>552</v>
      </c>
      <c r="I711" s="74">
        <f t="shared" si="11"/>
        <v>0</v>
      </c>
    </row>
    <row r="712" spans="1:9" ht="15" customHeight="1" x14ac:dyDescent="0.25">
      <c r="A712" s="57">
        <v>45605</v>
      </c>
      <c r="B712" t="s">
        <v>118</v>
      </c>
      <c r="C712" t="s">
        <v>160</v>
      </c>
      <c r="D712" t="s">
        <v>77</v>
      </c>
      <c r="F712" s="24">
        <v>5500</v>
      </c>
      <c r="G712" s="24"/>
      <c r="H712" t="s">
        <v>553</v>
      </c>
      <c r="I712" s="74">
        <f t="shared" si="11"/>
        <v>0</v>
      </c>
    </row>
    <row r="713" spans="1:9" ht="15" customHeight="1" x14ac:dyDescent="0.25">
      <c r="A713" s="57">
        <v>45605</v>
      </c>
      <c r="B713" t="s">
        <v>118</v>
      </c>
      <c r="C713" t="s">
        <v>157</v>
      </c>
      <c r="D713" t="s">
        <v>88</v>
      </c>
      <c r="E713" t="s">
        <v>188</v>
      </c>
      <c r="F713" s="24"/>
      <c r="G713" s="24">
        <v>5500</v>
      </c>
      <c r="H713" t="s">
        <v>553</v>
      </c>
      <c r="I713" s="74">
        <f t="shared" si="11"/>
        <v>0</v>
      </c>
    </row>
    <row r="714" spans="1:9" ht="15" customHeight="1" x14ac:dyDescent="0.25">
      <c r="A714" s="57">
        <v>45606</v>
      </c>
      <c r="B714" t="s">
        <v>119</v>
      </c>
      <c r="C714" t="s">
        <v>160</v>
      </c>
      <c r="D714" t="s">
        <v>72</v>
      </c>
      <c r="F714" s="24">
        <v>5000</v>
      </c>
      <c r="G714" s="24"/>
      <c r="H714" t="s">
        <v>554</v>
      </c>
      <c r="I714" s="74">
        <f t="shared" si="11"/>
        <v>0</v>
      </c>
    </row>
    <row r="715" spans="1:9" ht="15" customHeight="1" x14ac:dyDescent="0.25">
      <c r="A715" s="57">
        <v>45606</v>
      </c>
      <c r="B715" t="s">
        <v>119</v>
      </c>
      <c r="C715" t="s">
        <v>157</v>
      </c>
      <c r="D715" t="s">
        <v>88</v>
      </c>
      <c r="E715" t="s">
        <v>188</v>
      </c>
      <c r="F715" s="24"/>
      <c r="G715" s="24">
        <v>5000</v>
      </c>
      <c r="H715" t="s">
        <v>554</v>
      </c>
      <c r="I715" s="74">
        <f t="shared" si="11"/>
        <v>0</v>
      </c>
    </row>
    <row r="716" spans="1:9" ht="15" customHeight="1" x14ac:dyDescent="0.25">
      <c r="A716" s="57">
        <v>45607</v>
      </c>
      <c r="B716" t="s">
        <v>120</v>
      </c>
      <c r="C716" t="s">
        <v>160</v>
      </c>
      <c r="D716" t="s">
        <v>81</v>
      </c>
      <c r="F716" s="24">
        <v>2500</v>
      </c>
      <c r="G716" s="24"/>
      <c r="H716" t="s">
        <v>555</v>
      </c>
      <c r="I716" s="74">
        <f t="shared" si="11"/>
        <v>0</v>
      </c>
    </row>
    <row r="717" spans="1:9" ht="15" customHeight="1" x14ac:dyDescent="0.25">
      <c r="A717" s="57">
        <v>45607</v>
      </c>
      <c r="B717" t="s">
        <v>120</v>
      </c>
      <c r="C717" t="s">
        <v>157</v>
      </c>
      <c r="D717" t="s">
        <v>88</v>
      </c>
      <c r="E717" t="s">
        <v>188</v>
      </c>
      <c r="F717" s="24"/>
      <c r="G717" s="24">
        <v>2500</v>
      </c>
      <c r="H717" t="s">
        <v>555</v>
      </c>
      <c r="I717" s="74">
        <f t="shared" si="11"/>
        <v>0</v>
      </c>
    </row>
    <row r="718" spans="1:9" ht="15" customHeight="1" x14ac:dyDescent="0.25">
      <c r="A718" s="57">
        <v>45608</v>
      </c>
      <c r="B718" t="s">
        <v>121</v>
      </c>
      <c r="C718" t="s">
        <v>160</v>
      </c>
      <c r="D718" t="s">
        <v>71</v>
      </c>
      <c r="F718" s="24">
        <v>1500</v>
      </c>
      <c r="G718" s="24"/>
      <c r="H718" t="s">
        <v>556</v>
      </c>
      <c r="I718" s="74">
        <f t="shared" si="11"/>
        <v>0</v>
      </c>
    </row>
    <row r="719" spans="1:9" ht="15" customHeight="1" x14ac:dyDescent="0.25">
      <c r="A719" s="57">
        <v>45608</v>
      </c>
      <c r="B719" t="s">
        <v>121</v>
      </c>
      <c r="C719" t="s">
        <v>157</v>
      </c>
      <c r="D719" t="s">
        <v>88</v>
      </c>
      <c r="E719" t="s">
        <v>188</v>
      </c>
      <c r="F719" s="24"/>
      <c r="G719" s="24">
        <v>1500</v>
      </c>
      <c r="H719" t="s">
        <v>556</v>
      </c>
      <c r="I719" s="74">
        <f t="shared" si="11"/>
        <v>0</v>
      </c>
    </row>
    <row r="720" spans="1:9" ht="15" customHeight="1" x14ac:dyDescent="0.25">
      <c r="A720" s="57">
        <v>45609</v>
      </c>
      <c r="B720" t="s">
        <v>123</v>
      </c>
      <c r="C720" t="s">
        <v>160</v>
      </c>
      <c r="D720" t="s">
        <v>80</v>
      </c>
      <c r="F720" s="24">
        <v>500</v>
      </c>
      <c r="G720" s="24"/>
      <c r="H720" t="s">
        <v>557</v>
      </c>
      <c r="I720" s="74">
        <f t="shared" si="11"/>
        <v>0</v>
      </c>
    </row>
    <row r="721" spans="1:9" ht="15" customHeight="1" x14ac:dyDescent="0.25">
      <c r="A721" s="57">
        <v>45609</v>
      </c>
      <c r="B721" t="s">
        <v>123</v>
      </c>
      <c r="C721" t="s">
        <v>157</v>
      </c>
      <c r="D721" t="s">
        <v>88</v>
      </c>
      <c r="E721" t="s">
        <v>188</v>
      </c>
      <c r="F721" s="24"/>
      <c r="G721" s="24">
        <v>500</v>
      </c>
      <c r="H721" t="s">
        <v>557</v>
      </c>
      <c r="I721" s="74">
        <f t="shared" si="11"/>
        <v>0</v>
      </c>
    </row>
    <row r="722" spans="1:9" ht="15" customHeight="1" x14ac:dyDescent="0.25">
      <c r="A722" s="57">
        <v>45610</v>
      </c>
      <c r="B722" t="s">
        <v>128</v>
      </c>
      <c r="C722" t="s">
        <v>160</v>
      </c>
      <c r="D722" t="s">
        <v>75</v>
      </c>
      <c r="F722" s="24">
        <v>500</v>
      </c>
      <c r="G722" s="24"/>
      <c r="H722" t="s">
        <v>558</v>
      </c>
      <c r="I722" s="74">
        <f t="shared" si="11"/>
        <v>0</v>
      </c>
    </row>
    <row r="723" spans="1:9" ht="15" customHeight="1" x14ac:dyDescent="0.25">
      <c r="A723" s="57">
        <v>45610</v>
      </c>
      <c r="B723" t="s">
        <v>128</v>
      </c>
      <c r="C723" t="s">
        <v>157</v>
      </c>
      <c r="D723" t="s">
        <v>88</v>
      </c>
      <c r="E723" t="s">
        <v>188</v>
      </c>
      <c r="F723" s="24"/>
      <c r="G723" s="24">
        <v>500</v>
      </c>
      <c r="H723" t="s">
        <v>558</v>
      </c>
      <c r="I723" s="74">
        <f t="shared" si="11"/>
        <v>0</v>
      </c>
    </row>
    <row r="724" spans="1:9" ht="15" customHeight="1" x14ac:dyDescent="0.25">
      <c r="A724" s="57">
        <v>45622</v>
      </c>
      <c r="B724" t="s">
        <v>204</v>
      </c>
      <c r="C724" t="s">
        <v>160</v>
      </c>
      <c r="D724" t="s">
        <v>67</v>
      </c>
      <c r="F724" s="24">
        <v>17000</v>
      </c>
      <c r="G724" s="24"/>
      <c r="H724" t="s">
        <v>559</v>
      </c>
      <c r="I724" s="74">
        <f t="shared" si="11"/>
        <v>0</v>
      </c>
    </row>
    <row r="725" spans="1:9" ht="15" customHeight="1" x14ac:dyDescent="0.25">
      <c r="A725" s="57">
        <v>45622</v>
      </c>
      <c r="B725" t="s">
        <v>204</v>
      </c>
      <c r="C725" t="s">
        <v>157</v>
      </c>
      <c r="D725" t="s">
        <v>92</v>
      </c>
      <c r="F725" s="24"/>
      <c r="G725" s="24">
        <v>17000</v>
      </c>
      <c r="H725" t="s">
        <v>559</v>
      </c>
      <c r="I725" s="74">
        <f t="shared" si="11"/>
        <v>0</v>
      </c>
    </row>
    <row r="726" spans="1:9" ht="15" customHeight="1" x14ac:dyDescent="0.25">
      <c r="A726" s="57">
        <v>45623</v>
      </c>
      <c r="B726" t="s">
        <v>207</v>
      </c>
      <c r="C726" t="s">
        <v>160</v>
      </c>
      <c r="D726" t="s">
        <v>73</v>
      </c>
      <c r="F726" s="24">
        <v>500</v>
      </c>
      <c r="G726" s="24"/>
      <c r="H726" t="s">
        <v>560</v>
      </c>
      <c r="I726" s="74">
        <f t="shared" si="11"/>
        <v>0</v>
      </c>
    </row>
    <row r="727" spans="1:9" ht="15" customHeight="1" x14ac:dyDescent="0.25">
      <c r="A727" s="57">
        <v>45623</v>
      </c>
      <c r="B727" t="s">
        <v>207</v>
      </c>
      <c r="C727" t="s">
        <v>157</v>
      </c>
      <c r="D727" t="s">
        <v>100</v>
      </c>
      <c r="F727" s="24"/>
      <c r="G727" s="24">
        <v>500</v>
      </c>
      <c r="H727" t="s">
        <v>560</v>
      </c>
      <c r="I727" s="74">
        <f t="shared" si="11"/>
        <v>0</v>
      </c>
    </row>
    <row r="728" spans="1:9" ht="15" customHeight="1" x14ac:dyDescent="0.25">
      <c r="A728" s="57">
        <v>45628</v>
      </c>
      <c r="B728" t="s">
        <v>181</v>
      </c>
      <c r="C728" t="s">
        <v>157</v>
      </c>
      <c r="D728" t="s">
        <v>90</v>
      </c>
      <c r="F728" s="24">
        <v>19000</v>
      </c>
      <c r="G728" s="24"/>
      <c r="H728" t="s">
        <v>561</v>
      </c>
      <c r="I728" s="74">
        <f t="shared" si="11"/>
        <v>0</v>
      </c>
    </row>
    <row r="729" spans="1:9" ht="15" customHeight="1" x14ac:dyDescent="0.25">
      <c r="A729" s="57">
        <v>45628</v>
      </c>
      <c r="B729" t="s">
        <v>181</v>
      </c>
      <c r="C729" t="s">
        <v>60</v>
      </c>
      <c r="D729" t="s">
        <v>63</v>
      </c>
      <c r="F729" s="24"/>
      <c r="G729" s="24">
        <v>19000</v>
      </c>
      <c r="H729" t="s">
        <v>561</v>
      </c>
      <c r="I729" s="74">
        <f t="shared" si="11"/>
        <v>0</v>
      </c>
    </row>
    <row r="730" spans="1:9" ht="15" customHeight="1" x14ac:dyDescent="0.25">
      <c r="A730" s="57">
        <v>45629</v>
      </c>
      <c r="B730" t="s">
        <v>184</v>
      </c>
      <c r="C730" t="s">
        <v>157</v>
      </c>
      <c r="D730" t="s">
        <v>92</v>
      </c>
      <c r="F730" s="24">
        <v>14500</v>
      </c>
      <c r="G730" s="24"/>
      <c r="H730" t="s">
        <v>562</v>
      </c>
      <c r="I730" s="74">
        <f t="shared" si="11"/>
        <v>0</v>
      </c>
    </row>
    <row r="731" spans="1:9" ht="15" customHeight="1" x14ac:dyDescent="0.25">
      <c r="A731" s="57">
        <v>45629</v>
      </c>
      <c r="B731" t="s">
        <v>184</v>
      </c>
      <c r="C731" t="s">
        <v>158</v>
      </c>
      <c r="D731" t="s">
        <v>89</v>
      </c>
      <c r="F731" s="24"/>
      <c r="G731" s="24">
        <v>14500</v>
      </c>
      <c r="H731" t="s">
        <v>562</v>
      </c>
      <c r="I731" s="74">
        <f t="shared" si="11"/>
        <v>0</v>
      </c>
    </row>
    <row r="732" spans="1:9" ht="15" customHeight="1" x14ac:dyDescent="0.25">
      <c r="A732" s="57">
        <v>45630</v>
      </c>
      <c r="B732" t="s">
        <v>122</v>
      </c>
      <c r="C732" t="s">
        <v>158</v>
      </c>
      <c r="D732" t="s">
        <v>89</v>
      </c>
      <c r="F732" s="24">
        <v>0</v>
      </c>
      <c r="G732" s="24"/>
      <c r="H732" t="s">
        <v>563</v>
      </c>
      <c r="I732" s="74">
        <f t="shared" si="11"/>
        <v>0</v>
      </c>
    </row>
    <row r="733" spans="1:9" ht="15" customHeight="1" x14ac:dyDescent="0.25">
      <c r="A733" s="57">
        <v>45630</v>
      </c>
      <c r="B733" t="s">
        <v>122</v>
      </c>
      <c r="C733" t="s">
        <v>157</v>
      </c>
      <c r="D733" t="s">
        <v>88</v>
      </c>
      <c r="E733" t="s">
        <v>188</v>
      </c>
      <c r="F733" s="24"/>
      <c r="G733" s="24">
        <v>0</v>
      </c>
      <c r="H733" t="s">
        <v>563</v>
      </c>
      <c r="I733" s="74">
        <f t="shared" si="11"/>
        <v>0</v>
      </c>
    </row>
    <row r="734" spans="1:9" ht="15" customHeight="1" x14ac:dyDescent="0.25">
      <c r="A734" s="57">
        <v>45631</v>
      </c>
      <c r="B734" t="s">
        <v>115</v>
      </c>
      <c r="C734" t="s">
        <v>157</v>
      </c>
      <c r="D734" t="s">
        <v>88</v>
      </c>
      <c r="E734" t="s">
        <v>190</v>
      </c>
      <c r="F734" s="24">
        <v>11000</v>
      </c>
      <c r="G734" s="24"/>
      <c r="H734" t="s">
        <v>564</v>
      </c>
      <c r="I734" s="74">
        <f t="shared" si="11"/>
        <v>0</v>
      </c>
    </row>
    <row r="735" spans="1:9" ht="15" customHeight="1" x14ac:dyDescent="0.25">
      <c r="A735" s="57">
        <v>45631</v>
      </c>
      <c r="B735" t="s">
        <v>115</v>
      </c>
      <c r="C735" t="s">
        <v>60</v>
      </c>
      <c r="D735" t="s">
        <v>63</v>
      </c>
      <c r="F735" s="24"/>
      <c r="G735" s="24">
        <v>11000</v>
      </c>
      <c r="H735" t="s">
        <v>564</v>
      </c>
      <c r="I735" s="74">
        <f t="shared" si="11"/>
        <v>0</v>
      </c>
    </row>
    <row r="736" spans="1:9" ht="15" customHeight="1" x14ac:dyDescent="0.25">
      <c r="A736" s="57">
        <v>45632</v>
      </c>
      <c r="B736" t="s">
        <v>113</v>
      </c>
      <c r="C736" t="s">
        <v>157</v>
      </c>
      <c r="D736" t="s">
        <v>88</v>
      </c>
      <c r="E736" t="s">
        <v>190</v>
      </c>
      <c r="F736" s="24">
        <v>6000</v>
      </c>
      <c r="G736" s="24"/>
      <c r="H736" t="s">
        <v>565</v>
      </c>
      <c r="I736" s="74">
        <f t="shared" si="11"/>
        <v>0</v>
      </c>
    </row>
    <row r="737" spans="1:9" ht="15" customHeight="1" x14ac:dyDescent="0.25">
      <c r="A737" s="57">
        <v>45632</v>
      </c>
      <c r="B737" t="s">
        <v>113</v>
      </c>
      <c r="C737" t="s">
        <v>60</v>
      </c>
      <c r="D737" t="s">
        <v>61</v>
      </c>
      <c r="F737" s="24"/>
      <c r="G737" s="24">
        <v>6000</v>
      </c>
      <c r="H737" t="s">
        <v>565</v>
      </c>
      <c r="I737" s="74">
        <f t="shared" si="11"/>
        <v>0</v>
      </c>
    </row>
    <row r="738" spans="1:9" ht="15" customHeight="1" x14ac:dyDescent="0.25">
      <c r="A738" s="57">
        <v>45633</v>
      </c>
      <c r="B738" t="s">
        <v>194</v>
      </c>
      <c r="C738" t="s">
        <v>157</v>
      </c>
      <c r="D738" t="s">
        <v>90</v>
      </c>
      <c r="F738" s="24">
        <v>6000</v>
      </c>
      <c r="G738" s="24"/>
      <c r="H738" t="s">
        <v>566</v>
      </c>
      <c r="I738" s="74">
        <f t="shared" si="11"/>
        <v>0</v>
      </c>
    </row>
    <row r="739" spans="1:9" ht="15" customHeight="1" x14ac:dyDescent="0.25">
      <c r="A739" s="57">
        <v>45633</v>
      </c>
      <c r="B739" t="s">
        <v>194</v>
      </c>
      <c r="C739" t="s">
        <v>60</v>
      </c>
      <c r="D739" t="s">
        <v>64</v>
      </c>
      <c r="F739" s="24"/>
      <c r="G739" s="24">
        <v>6000</v>
      </c>
      <c r="H739" t="s">
        <v>566</v>
      </c>
      <c r="I739" s="74">
        <f t="shared" si="11"/>
        <v>0</v>
      </c>
    </row>
    <row r="740" spans="1:9" ht="15" customHeight="1" x14ac:dyDescent="0.25">
      <c r="A740" s="57">
        <v>45634</v>
      </c>
      <c r="B740" t="s">
        <v>114</v>
      </c>
      <c r="C740" t="s">
        <v>157</v>
      </c>
      <c r="D740" t="s">
        <v>88</v>
      </c>
      <c r="E740" t="s">
        <v>190</v>
      </c>
      <c r="F740" s="24">
        <v>24000</v>
      </c>
      <c r="G740" s="24"/>
      <c r="H740" t="s">
        <v>567</v>
      </c>
      <c r="I740" s="74">
        <f t="shared" si="11"/>
        <v>0</v>
      </c>
    </row>
    <row r="741" spans="1:9" ht="15" customHeight="1" x14ac:dyDescent="0.25">
      <c r="A741" s="57">
        <v>45634</v>
      </c>
      <c r="B741" t="s">
        <v>114</v>
      </c>
      <c r="C741" t="s">
        <v>157</v>
      </c>
      <c r="D741" t="s">
        <v>90</v>
      </c>
      <c r="F741" s="24"/>
      <c r="G741" s="24">
        <v>24000</v>
      </c>
      <c r="H741" t="s">
        <v>567</v>
      </c>
      <c r="I741" s="74">
        <f t="shared" si="11"/>
        <v>0</v>
      </c>
    </row>
    <row r="742" spans="1:9" ht="15" customHeight="1" x14ac:dyDescent="0.25">
      <c r="A742" s="57">
        <v>45635</v>
      </c>
      <c r="B742" t="s">
        <v>118</v>
      </c>
      <c r="C742" t="s">
        <v>160</v>
      </c>
      <c r="D742" t="s">
        <v>77</v>
      </c>
      <c r="F742" s="24">
        <v>4000</v>
      </c>
      <c r="G742" s="24"/>
      <c r="H742" t="s">
        <v>568</v>
      </c>
      <c r="I742" s="74">
        <f t="shared" si="11"/>
        <v>0</v>
      </c>
    </row>
    <row r="743" spans="1:9" ht="15" customHeight="1" x14ac:dyDescent="0.25">
      <c r="A743" s="57">
        <v>45635</v>
      </c>
      <c r="B743" t="s">
        <v>118</v>
      </c>
      <c r="C743" t="s">
        <v>157</v>
      </c>
      <c r="D743" t="s">
        <v>88</v>
      </c>
      <c r="E743" t="s">
        <v>188</v>
      </c>
      <c r="F743" s="24"/>
      <c r="G743" s="24">
        <v>4000</v>
      </c>
      <c r="H743" t="s">
        <v>568</v>
      </c>
      <c r="I743" s="74">
        <f t="shared" si="11"/>
        <v>0</v>
      </c>
    </row>
    <row r="744" spans="1:9" ht="15" customHeight="1" x14ac:dyDescent="0.25">
      <c r="A744" s="57">
        <v>45636</v>
      </c>
      <c r="B744" t="s">
        <v>119</v>
      </c>
      <c r="C744" t="s">
        <v>160</v>
      </c>
      <c r="D744" t="s">
        <v>72</v>
      </c>
      <c r="F744" s="24">
        <v>5000</v>
      </c>
      <c r="G744" s="24"/>
      <c r="H744" t="s">
        <v>569</v>
      </c>
      <c r="I744" s="74">
        <f t="shared" si="11"/>
        <v>0</v>
      </c>
    </row>
    <row r="745" spans="1:9" ht="15" customHeight="1" x14ac:dyDescent="0.25">
      <c r="A745" s="57">
        <v>45636</v>
      </c>
      <c r="B745" t="s">
        <v>119</v>
      </c>
      <c r="C745" t="s">
        <v>157</v>
      </c>
      <c r="D745" t="s">
        <v>88</v>
      </c>
      <c r="E745" t="s">
        <v>188</v>
      </c>
      <c r="F745" s="24"/>
      <c r="G745" s="24">
        <v>5000</v>
      </c>
      <c r="H745" t="s">
        <v>569</v>
      </c>
      <c r="I745" s="74">
        <f t="shared" si="11"/>
        <v>0</v>
      </c>
    </row>
    <row r="746" spans="1:9" ht="15" customHeight="1" x14ac:dyDescent="0.25">
      <c r="A746" s="57">
        <v>45637</v>
      </c>
      <c r="B746" t="s">
        <v>120</v>
      </c>
      <c r="C746" t="s">
        <v>160</v>
      </c>
      <c r="D746" t="s">
        <v>81</v>
      </c>
      <c r="F746" s="24">
        <v>2000</v>
      </c>
      <c r="G746" s="24"/>
      <c r="H746" t="s">
        <v>570</v>
      </c>
      <c r="I746" s="74">
        <f t="shared" si="11"/>
        <v>0</v>
      </c>
    </row>
    <row r="747" spans="1:9" ht="15" customHeight="1" x14ac:dyDescent="0.25">
      <c r="A747" s="57">
        <v>45637</v>
      </c>
      <c r="B747" t="s">
        <v>120</v>
      </c>
      <c r="C747" t="s">
        <v>157</v>
      </c>
      <c r="D747" t="s">
        <v>88</v>
      </c>
      <c r="E747" t="s">
        <v>188</v>
      </c>
      <c r="F747" s="24"/>
      <c r="G747" s="24">
        <v>2000</v>
      </c>
      <c r="H747" t="s">
        <v>570</v>
      </c>
      <c r="I747" s="74">
        <f t="shared" si="11"/>
        <v>0</v>
      </c>
    </row>
    <row r="748" spans="1:9" ht="15" customHeight="1" x14ac:dyDescent="0.25">
      <c r="A748" s="57">
        <v>45638</v>
      </c>
      <c r="B748" t="s">
        <v>121</v>
      </c>
      <c r="C748" t="s">
        <v>160</v>
      </c>
      <c r="D748" t="s">
        <v>71</v>
      </c>
      <c r="F748" s="24">
        <v>1500</v>
      </c>
      <c r="G748" s="24"/>
      <c r="H748" t="s">
        <v>571</v>
      </c>
      <c r="I748" s="74">
        <f t="shared" si="11"/>
        <v>0</v>
      </c>
    </row>
    <row r="749" spans="1:9" ht="15" customHeight="1" x14ac:dyDescent="0.25">
      <c r="A749" s="57">
        <v>45638</v>
      </c>
      <c r="B749" t="s">
        <v>121</v>
      </c>
      <c r="C749" t="s">
        <v>157</v>
      </c>
      <c r="D749" t="s">
        <v>88</v>
      </c>
      <c r="E749" t="s">
        <v>188</v>
      </c>
      <c r="F749" s="24"/>
      <c r="G749" s="24">
        <v>1500</v>
      </c>
      <c r="H749" t="s">
        <v>571</v>
      </c>
      <c r="I749" s="74">
        <f t="shared" si="11"/>
        <v>0</v>
      </c>
    </row>
    <row r="750" spans="1:9" ht="15" customHeight="1" x14ac:dyDescent="0.25">
      <c r="A750" s="57">
        <v>45639</v>
      </c>
      <c r="B750" t="s">
        <v>124</v>
      </c>
      <c r="C750" t="s">
        <v>160</v>
      </c>
      <c r="D750" t="s">
        <v>74</v>
      </c>
      <c r="F750" s="24">
        <v>1500</v>
      </c>
      <c r="G750" s="24"/>
      <c r="H750" t="s">
        <v>572</v>
      </c>
      <c r="I750" s="74">
        <f t="shared" si="11"/>
        <v>0</v>
      </c>
    </row>
    <row r="751" spans="1:9" ht="15" customHeight="1" x14ac:dyDescent="0.25">
      <c r="A751" s="57">
        <v>45639</v>
      </c>
      <c r="B751" t="s">
        <v>124</v>
      </c>
      <c r="C751" t="s">
        <v>157</v>
      </c>
      <c r="D751" t="s">
        <v>88</v>
      </c>
      <c r="E751" t="s">
        <v>188</v>
      </c>
      <c r="F751" s="24"/>
      <c r="G751" s="24">
        <v>1500</v>
      </c>
      <c r="H751" t="s">
        <v>572</v>
      </c>
      <c r="I751" s="74">
        <f t="shared" si="11"/>
        <v>0</v>
      </c>
    </row>
    <row r="752" spans="1:9" ht="15" customHeight="1" x14ac:dyDescent="0.25">
      <c r="A752" s="57">
        <v>45640</v>
      </c>
      <c r="B752" t="s">
        <v>128</v>
      </c>
      <c r="C752" t="s">
        <v>160</v>
      </c>
      <c r="D752" t="s">
        <v>75</v>
      </c>
      <c r="F752" s="24">
        <v>1500</v>
      </c>
      <c r="G752" s="24"/>
      <c r="H752" t="s">
        <v>573</v>
      </c>
      <c r="I752" s="74">
        <f t="shared" si="11"/>
        <v>0</v>
      </c>
    </row>
    <row r="753" spans="1:9" ht="15" customHeight="1" x14ac:dyDescent="0.25">
      <c r="A753" s="57">
        <v>45640</v>
      </c>
      <c r="B753" t="s">
        <v>128</v>
      </c>
      <c r="C753" t="s">
        <v>157</v>
      </c>
      <c r="D753" t="s">
        <v>88</v>
      </c>
      <c r="E753" t="s">
        <v>188</v>
      </c>
      <c r="F753" s="24"/>
      <c r="G753" s="24">
        <v>1500</v>
      </c>
      <c r="H753" t="s">
        <v>573</v>
      </c>
      <c r="I753" s="74">
        <f t="shared" si="11"/>
        <v>0</v>
      </c>
    </row>
    <row r="754" spans="1:9" ht="15" customHeight="1" x14ac:dyDescent="0.25">
      <c r="A754" s="57">
        <v>45642</v>
      </c>
      <c r="B754" t="s">
        <v>136</v>
      </c>
      <c r="C754" t="s">
        <v>157</v>
      </c>
      <c r="D754" t="s">
        <v>98</v>
      </c>
      <c r="F754" s="24">
        <v>4500</v>
      </c>
      <c r="G754" s="24"/>
      <c r="H754" t="s">
        <v>574</v>
      </c>
      <c r="I754" s="74">
        <f t="shared" si="11"/>
        <v>0</v>
      </c>
    </row>
    <row r="755" spans="1:9" ht="15" customHeight="1" x14ac:dyDescent="0.25">
      <c r="A755" s="57">
        <v>45642</v>
      </c>
      <c r="B755" t="s">
        <v>136</v>
      </c>
      <c r="C755" t="s">
        <v>157</v>
      </c>
      <c r="D755" t="s">
        <v>88</v>
      </c>
      <c r="E755" t="s">
        <v>242</v>
      </c>
      <c r="F755" s="24"/>
      <c r="G755" s="24">
        <v>4500</v>
      </c>
      <c r="H755" t="s">
        <v>574</v>
      </c>
      <c r="I755" s="74">
        <f t="shared" si="11"/>
        <v>0</v>
      </c>
    </row>
    <row r="756" spans="1:9" ht="15" customHeight="1" x14ac:dyDescent="0.25">
      <c r="A756" s="57">
        <v>45644</v>
      </c>
      <c r="B756" t="s">
        <v>133</v>
      </c>
      <c r="C756" t="s">
        <v>157</v>
      </c>
      <c r="D756" t="s">
        <v>88</v>
      </c>
      <c r="E756" t="s">
        <v>243</v>
      </c>
      <c r="F756" s="24">
        <v>1000</v>
      </c>
      <c r="G756" s="24"/>
      <c r="H756" t="s">
        <v>575</v>
      </c>
      <c r="I756" s="74">
        <f t="shared" si="11"/>
        <v>0</v>
      </c>
    </row>
    <row r="757" spans="1:9" ht="15" customHeight="1" x14ac:dyDescent="0.25">
      <c r="A757" s="57">
        <v>45644</v>
      </c>
      <c r="B757" t="s">
        <v>133</v>
      </c>
      <c r="C757" t="s">
        <v>60</v>
      </c>
      <c r="D757" t="s">
        <v>62</v>
      </c>
      <c r="F757" s="24"/>
      <c r="G757" s="24">
        <v>1000</v>
      </c>
      <c r="H757" t="s">
        <v>575</v>
      </c>
      <c r="I757" s="74">
        <f t="shared" si="11"/>
        <v>0</v>
      </c>
    </row>
    <row r="758" spans="1:9" ht="15" customHeight="1" x14ac:dyDescent="0.25">
      <c r="A758" s="57">
        <v>45656</v>
      </c>
      <c r="B758" t="s">
        <v>204</v>
      </c>
      <c r="C758" t="s">
        <v>160</v>
      </c>
      <c r="D758" t="s">
        <v>67</v>
      </c>
      <c r="F758" s="24">
        <v>12500</v>
      </c>
      <c r="G758" s="24"/>
      <c r="H758" t="s">
        <v>576</v>
      </c>
      <c r="I758" s="74">
        <f t="shared" si="11"/>
        <v>0</v>
      </c>
    </row>
    <row r="759" spans="1:9" ht="15" customHeight="1" x14ac:dyDescent="0.25">
      <c r="A759" s="57">
        <v>45656</v>
      </c>
      <c r="B759" t="s">
        <v>204</v>
      </c>
      <c r="C759" t="s">
        <v>157</v>
      </c>
      <c r="D759" t="s">
        <v>92</v>
      </c>
      <c r="F759" s="24"/>
      <c r="G759" s="24">
        <v>12500</v>
      </c>
      <c r="H759" t="s">
        <v>576</v>
      </c>
      <c r="I759" s="74">
        <f t="shared" si="11"/>
        <v>0</v>
      </c>
    </row>
    <row r="760" spans="1:9" ht="15" customHeight="1" x14ac:dyDescent="0.25">
      <c r="A760" s="57">
        <v>45657</v>
      </c>
      <c r="B760" t="s">
        <v>207</v>
      </c>
      <c r="C760" t="s">
        <v>160</v>
      </c>
      <c r="D760" t="s">
        <v>73</v>
      </c>
      <c r="F760" s="24">
        <v>1000</v>
      </c>
      <c r="G760" s="24"/>
      <c r="H760" t="s">
        <v>577</v>
      </c>
      <c r="I760" s="74">
        <f t="shared" si="11"/>
        <v>0</v>
      </c>
    </row>
    <row r="761" spans="1:9" ht="15" customHeight="1" x14ac:dyDescent="0.25">
      <c r="A761" s="57">
        <v>45657</v>
      </c>
      <c r="B761" t="s">
        <v>207</v>
      </c>
      <c r="C761" t="s">
        <v>157</v>
      </c>
      <c r="D761" t="s">
        <v>100</v>
      </c>
      <c r="F761" s="24"/>
      <c r="G761" s="24">
        <v>1000</v>
      </c>
      <c r="H761" t="s">
        <v>577</v>
      </c>
      <c r="I761" s="74">
        <f t="shared" si="11"/>
        <v>0</v>
      </c>
    </row>
    <row r="762" spans="1:9" ht="15" customHeight="1" x14ac:dyDescent="0.25">
      <c r="A762" s="57">
        <v>45658</v>
      </c>
      <c r="B762" t="s">
        <v>143</v>
      </c>
      <c r="C762" t="s">
        <v>157</v>
      </c>
      <c r="D762" t="s">
        <v>88</v>
      </c>
      <c r="E762" t="s">
        <v>178</v>
      </c>
      <c r="F762" s="24">
        <v>15000</v>
      </c>
      <c r="G762" s="24"/>
      <c r="H762" t="s">
        <v>578</v>
      </c>
      <c r="I762" s="74">
        <f t="shared" si="11"/>
        <v>0</v>
      </c>
    </row>
    <row r="763" spans="1:9" ht="15" customHeight="1" x14ac:dyDescent="0.25">
      <c r="A763" s="57">
        <v>45658</v>
      </c>
      <c r="B763" t="s">
        <v>143</v>
      </c>
      <c r="C763" t="s">
        <v>159</v>
      </c>
      <c r="D763" t="s">
        <v>103</v>
      </c>
      <c r="F763" s="24"/>
      <c r="G763" s="24">
        <v>15000</v>
      </c>
      <c r="H763" t="s">
        <v>578</v>
      </c>
      <c r="I763" s="74">
        <f t="shared" si="11"/>
        <v>0</v>
      </c>
    </row>
    <row r="764" spans="1:9" ht="15" customHeight="1" x14ac:dyDescent="0.25">
      <c r="A764" s="57">
        <v>45659</v>
      </c>
      <c r="B764" t="s">
        <v>181</v>
      </c>
      <c r="C764" t="s">
        <v>157</v>
      </c>
      <c r="D764" t="s">
        <v>90</v>
      </c>
      <c r="F764" s="24">
        <v>25000</v>
      </c>
      <c r="G764" s="24"/>
      <c r="H764" t="s">
        <v>579</v>
      </c>
      <c r="I764" s="74">
        <f t="shared" si="11"/>
        <v>0</v>
      </c>
    </row>
    <row r="765" spans="1:9" ht="15" customHeight="1" x14ac:dyDescent="0.25">
      <c r="A765" s="57">
        <v>45659</v>
      </c>
      <c r="B765" t="s">
        <v>181</v>
      </c>
      <c r="C765" t="s">
        <v>60</v>
      </c>
      <c r="D765" t="s">
        <v>63</v>
      </c>
      <c r="F765" s="24"/>
      <c r="G765" s="24">
        <v>25000</v>
      </c>
      <c r="H765" t="s">
        <v>579</v>
      </c>
      <c r="I765" s="74">
        <f t="shared" si="11"/>
        <v>0</v>
      </c>
    </row>
    <row r="766" spans="1:9" ht="15" customHeight="1" x14ac:dyDescent="0.25">
      <c r="A766" s="57">
        <v>45660</v>
      </c>
      <c r="B766" t="s">
        <v>184</v>
      </c>
      <c r="C766" t="s">
        <v>157</v>
      </c>
      <c r="D766" t="s">
        <v>92</v>
      </c>
      <c r="F766" s="24">
        <v>17500</v>
      </c>
      <c r="G766" s="24"/>
      <c r="H766" t="s">
        <v>580</v>
      </c>
      <c r="I766" s="74">
        <f t="shared" si="11"/>
        <v>0</v>
      </c>
    </row>
    <row r="767" spans="1:9" ht="15" customHeight="1" x14ac:dyDescent="0.25">
      <c r="A767" s="57">
        <v>45660</v>
      </c>
      <c r="B767" t="s">
        <v>184</v>
      </c>
      <c r="C767" t="s">
        <v>158</v>
      </c>
      <c r="D767" t="s">
        <v>89</v>
      </c>
      <c r="F767" s="24"/>
      <c r="G767" s="24">
        <v>17500</v>
      </c>
      <c r="H767" t="s">
        <v>580</v>
      </c>
      <c r="I767" s="74">
        <f t="shared" si="11"/>
        <v>0</v>
      </c>
    </row>
    <row r="768" spans="1:9" ht="15" customHeight="1" x14ac:dyDescent="0.25">
      <c r="A768" s="57">
        <v>45661</v>
      </c>
      <c r="B768" t="s">
        <v>122</v>
      </c>
      <c r="C768" t="s">
        <v>158</v>
      </c>
      <c r="D768" t="s">
        <v>89</v>
      </c>
      <c r="F768" s="24">
        <v>0</v>
      </c>
      <c r="G768" s="24"/>
      <c r="H768" t="s">
        <v>581</v>
      </c>
      <c r="I768" s="74">
        <f t="shared" si="11"/>
        <v>0</v>
      </c>
    </row>
    <row r="769" spans="1:9" ht="15" customHeight="1" x14ac:dyDescent="0.25">
      <c r="A769" s="57">
        <v>45661</v>
      </c>
      <c r="B769" t="s">
        <v>122</v>
      </c>
      <c r="C769" t="s">
        <v>157</v>
      </c>
      <c r="D769" t="s">
        <v>88</v>
      </c>
      <c r="E769" t="s">
        <v>188</v>
      </c>
      <c r="F769" s="24"/>
      <c r="G769" s="24">
        <v>0</v>
      </c>
      <c r="H769" t="s">
        <v>581</v>
      </c>
      <c r="I769" s="74">
        <f t="shared" si="11"/>
        <v>0</v>
      </c>
    </row>
    <row r="770" spans="1:9" ht="15" customHeight="1" x14ac:dyDescent="0.25">
      <c r="A770" s="57">
        <v>45662</v>
      </c>
      <c r="B770" t="s">
        <v>115</v>
      </c>
      <c r="C770" t="s">
        <v>157</v>
      </c>
      <c r="D770" t="s">
        <v>88</v>
      </c>
      <c r="E770" t="s">
        <v>190</v>
      </c>
      <c r="F770" s="24">
        <v>11000</v>
      </c>
      <c r="G770" s="24"/>
      <c r="H770" t="s">
        <v>582</v>
      </c>
      <c r="I770" s="74">
        <f t="shared" ref="I770:I833" si="12">SUMIF($H:$H,H770,$F:$F)-SUMIF($H:$H,H770,$G:$G)</f>
        <v>0</v>
      </c>
    </row>
    <row r="771" spans="1:9" ht="15" customHeight="1" x14ac:dyDescent="0.25">
      <c r="A771" s="57">
        <v>45662</v>
      </c>
      <c r="B771" t="s">
        <v>115</v>
      </c>
      <c r="C771" t="s">
        <v>60</v>
      </c>
      <c r="D771" t="s">
        <v>63</v>
      </c>
      <c r="F771" s="24"/>
      <c r="G771" s="24">
        <v>11000</v>
      </c>
      <c r="H771" t="s">
        <v>582</v>
      </c>
      <c r="I771" s="74">
        <f t="shared" si="12"/>
        <v>0</v>
      </c>
    </row>
    <row r="772" spans="1:9" ht="15" customHeight="1" x14ac:dyDescent="0.25">
      <c r="A772" s="57">
        <v>45663</v>
      </c>
      <c r="B772" t="s">
        <v>113</v>
      </c>
      <c r="C772" t="s">
        <v>157</v>
      </c>
      <c r="D772" t="s">
        <v>88</v>
      </c>
      <c r="E772" t="s">
        <v>190</v>
      </c>
      <c r="F772" s="24">
        <v>5000</v>
      </c>
      <c r="G772" s="24"/>
      <c r="H772" t="s">
        <v>583</v>
      </c>
      <c r="I772" s="74">
        <f t="shared" si="12"/>
        <v>0</v>
      </c>
    </row>
    <row r="773" spans="1:9" ht="15" customHeight="1" x14ac:dyDescent="0.25">
      <c r="A773" s="57">
        <v>45663</v>
      </c>
      <c r="B773" t="s">
        <v>113</v>
      </c>
      <c r="C773" t="s">
        <v>60</v>
      </c>
      <c r="D773" t="s">
        <v>61</v>
      </c>
      <c r="F773" s="24"/>
      <c r="G773" s="24">
        <v>5000</v>
      </c>
      <c r="H773" t="s">
        <v>583</v>
      </c>
      <c r="I773" s="74">
        <f t="shared" si="12"/>
        <v>0</v>
      </c>
    </row>
    <row r="774" spans="1:9" ht="15" customHeight="1" x14ac:dyDescent="0.25">
      <c r="A774" s="57">
        <v>45664</v>
      </c>
      <c r="B774" t="s">
        <v>194</v>
      </c>
      <c r="C774" t="s">
        <v>157</v>
      </c>
      <c r="D774" t="s">
        <v>90</v>
      </c>
      <c r="F774" s="24">
        <v>11000</v>
      </c>
      <c r="G774" s="24"/>
      <c r="H774" t="s">
        <v>584</v>
      </c>
      <c r="I774" s="74">
        <f t="shared" si="12"/>
        <v>0</v>
      </c>
    </row>
    <row r="775" spans="1:9" ht="15" customHeight="1" x14ac:dyDescent="0.25">
      <c r="A775" s="57">
        <v>45664</v>
      </c>
      <c r="B775" t="s">
        <v>194</v>
      </c>
      <c r="C775" t="s">
        <v>60</v>
      </c>
      <c r="D775" t="s">
        <v>64</v>
      </c>
      <c r="F775" s="24"/>
      <c r="G775" s="24">
        <v>11000</v>
      </c>
      <c r="H775" t="s">
        <v>584</v>
      </c>
      <c r="I775" s="74">
        <f t="shared" si="12"/>
        <v>0</v>
      </c>
    </row>
    <row r="776" spans="1:9" ht="15" customHeight="1" x14ac:dyDescent="0.25">
      <c r="A776" s="57">
        <v>45665</v>
      </c>
      <c r="B776" t="s">
        <v>114</v>
      </c>
      <c r="C776" t="s">
        <v>157</v>
      </c>
      <c r="D776" t="s">
        <v>88</v>
      </c>
      <c r="E776" t="s">
        <v>190</v>
      </c>
      <c r="F776" s="24">
        <v>28000</v>
      </c>
      <c r="G776" s="24"/>
      <c r="H776" t="s">
        <v>585</v>
      </c>
      <c r="I776" s="74">
        <f t="shared" si="12"/>
        <v>0</v>
      </c>
    </row>
    <row r="777" spans="1:9" ht="15" customHeight="1" x14ac:dyDescent="0.25">
      <c r="A777" s="57">
        <v>45665</v>
      </c>
      <c r="B777" t="s">
        <v>114</v>
      </c>
      <c r="C777" t="s">
        <v>157</v>
      </c>
      <c r="D777" t="s">
        <v>90</v>
      </c>
      <c r="F777" s="24"/>
      <c r="G777" s="24">
        <v>28000</v>
      </c>
      <c r="H777" t="s">
        <v>585</v>
      </c>
      <c r="I777" s="74">
        <f t="shared" si="12"/>
        <v>0</v>
      </c>
    </row>
    <row r="778" spans="1:9" ht="15" customHeight="1" x14ac:dyDescent="0.25">
      <c r="A778" s="57">
        <v>45666</v>
      </c>
      <c r="B778" t="s">
        <v>118</v>
      </c>
      <c r="C778" t="s">
        <v>160</v>
      </c>
      <c r="D778" t="s">
        <v>77</v>
      </c>
      <c r="F778" s="24">
        <v>6000</v>
      </c>
      <c r="G778" s="24"/>
      <c r="H778" t="s">
        <v>586</v>
      </c>
      <c r="I778" s="74">
        <f t="shared" si="12"/>
        <v>0</v>
      </c>
    </row>
    <row r="779" spans="1:9" ht="15" customHeight="1" x14ac:dyDescent="0.25">
      <c r="A779" s="57">
        <v>45666</v>
      </c>
      <c r="B779" t="s">
        <v>118</v>
      </c>
      <c r="C779" t="s">
        <v>157</v>
      </c>
      <c r="D779" t="s">
        <v>88</v>
      </c>
      <c r="E779" t="s">
        <v>188</v>
      </c>
      <c r="F779" s="24"/>
      <c r="G779" s="24">
        <v>6000</v>
      </c>
      <c r="H779" t="s">
        <v>586</v>
      </c>
      <c r="I779" s="74">
        <f t="shared" si="12"/>
        <v>0</v>
      </c>
    </row>
    <row r="780" spans="1:9" ht="15" customHeight="1" x14ac:dyDescent="0.25">
      <c r="A780" s="57">
        <v>45667</v>
      </c>
      <c r="B780" t="s">
        <v>119</v>
      </c>
      <c r="C780" t="s">
        <v>160</v>
      </c>
      <c r="D780" t="s">
        <v>72</v>
      </c>
      <c r="F780" s="24">
        <v>8000</v>
      </c>
      <c r="G780" s="24"/>
      <c r="H780" t="s">
        <v>587</v>
      </c>
      <c r="I780" s="74">
        <f t="shared" si="12"/>
        <v>0</v>
      </c>
    </row>
    <row r="781" spans="1:9" ht="15" customHeight="1" x14ac:dyDescent="0.25">
      <c r="A781" s="57">
        <v>45667</v>
      </c>
      <c r="B781" t="s">
        <v>119</v>
      </c>
      <c r="C781" t="s">
        <v>157</v>
      </c>
      <c r="D781" t="s">
        <v>88</v>
      </c>
      <c r="E781" t="s">
        <v>188</v>
      </c>
      <c r="F781" s="24"/>
      <c r="G781" s="24">
        <v>8000</v>
      </c>
      <c r="H781" t="s">
        <v>587</v>
      </c>
      <c r="I781" s="74">
        <f t="shared" si="12"/>
        <v>0</v>
      </c>
    </row>
    <row r="782" spans="1:9" ht="15" customHeight="1" x14ac:dyDescent="0.25">
      <c r="A782" s="57">
        <v>45668</v>
      </c>
      <c r="B782" t="s">
        <v>120</v>
      </c>
      <c r="C782" t="s">
        <v>160</v>
      </c>
      <c r="D782" t="s">
        <v>81</v>
      </c>
      <c r="F782" s="24">
        <v>2500</v>
      </c>
      <c r="G782" s="24"/>
      <c r="H782" t="s">
        <v>588</v>
      </c>
      <c r="I782" s="74">
        <f t="shared" si="12"/>
        <v>0</v>
      </c>
    </row>
    <row r="783" spans="1:9" ht="15" customHeight="1" x14ac:dyDescent="0.25">
      <c r="A783" s="57">
        <v>45668</v>
      </c>
      <c r="B783" t="s">
        <v>120</v>
      </c>
      <c r="C783" t="s">
        <v>157</v>
      </c>
      <c r="D783" t="s">
        <v>88</v>
      </c>
      <c r="E783" t="s">
        <v>188</v>
      </c>
      <c r="F783" s="24"/>
      <c r="G783" s="24">
        <v>2500</v>
      </c>
      <c r="H783" t="s">
        <v>588</v>
      </c>
      <c r="I783" s="74">
        <f t="shared" si="12"/>
        <v>0</v>
      </c>
    </row>
    <row r="784" spans="1:9" ht="15" customHeight="1" x14ac:dyDescent="0.25">
      <c r="A784" s="57">
        <v>45669</v>
      </c>
      <c r="B784" t="s">
        <v>121</v>
      </c>
      <c r="C784" t="s">
        <v>160</v>
      </c>
      <c r="D784" t="s">
        <v>71</v>
      </c>
      <c r="F784" s="24">
        <v>2000</v>
      </c>
      <c r="G784" s="24"/>
      <c r="H784" t="s">
        <v>589</v>
      </c>
      <c r="I784" s="74">
        <f t="shared" si="12"/>
        <v>0</v>
      </c>
    </row>
    <row r="785" spans="1:9" ht="15" customHeight="1" x14ac:dyDescent="0.25">
      <c r="A785" s="57">
        <v>45669</v>
      </c>
      <c r="B785" t="s">
        <v>121</v>
      </c>
      <c r="C785" t="s">
        <v>157</v>
      </c>
      <c r="D785" t="s">
        <v>88</v>
      </c>
      <c r="E785" t="s">
        <v>188</v>
      </c>
      <c r="F785" s="24"/>
      <c r="G785" s="24">
        <v>2000</v>
      </c>
      <c r="H785" t="s">
        <v>589</v>
      </c>
      <c r="I785" s="74">
        <f t="shared" si="12"/>
        <v>0</v>
      </c>
    </row>
    <row r="786" spans="1:9" ht="15" customHeight="1" x14ac:dyDescent="0.25">
      <c r="A786" s="57">
        <v>45670</v>
      </c>
      <c r="B786" t="s">
        <v>124</v>
      </c>
      <c r="C786" t="s">
        <v>160</v>
      </c>
      <c r="D786" t="s">
        <v>74</v>
      </c>
      <c r="F786" s="24">
        <v>1500</v>
      </c>
      <c r="G786" s="24"/>
      <c r="H786" t="s">
        <v>590</v>
      </c>
      <c r="I786" s="74">
        <f t="shared" si="12"/>
        <v>0</v>
      </c>
    </row>
    <row r="787" spans="1:9" ht="15" customHeight="1" x14ac:dyDescent="0.25">
      <c r="A787" s="57">
        <v>45670</v>
      </c>
      <c r="B787" t="s">
        <v>124</v>
      </c>
      <c r="C787" t="s">
        <v>157</v>
      </c>
      <c r="D787" t="s">
        <v>88</v>
      </c>
      <c r="E787" t="s">
        <v>188</v>
      </c>
      <c r="F787" s="24"/>
      <c r="G787" s="24">
        <v>1500</v>
      </c>
      <c r="H787" t="s">
        <v>590</v>
      </c>
      <c r="I787" s="74">
        <f t="shared" si="12"/>
        <v>0</v>
      </c>
    </row>
    <row r="788" spans="1:9" ht="15" customHeight="1" x14ac:dyDescent="0.25">
      <c r="A788" s="57">
        <v>45671</v>
      </c>
      <c r="B788" t="s">
        <v>128</v>
      </c>
      <c r="C788" t="s">
        <v>160</v>
      </c>
      <c r="D788" t="s">
        <v>75</v>
      </c>
      <c r="F788" s="24">
        <v>1000</v>
      </c>
      <c r="G788" s="24"/>
      <c r="H788" t="s">
        <v>591</v>
      </c>
      <c r="I788" s="74">
        <f t="shared" si="12"/>
        <v>0</v>
      </c>
    </row>
    <row r="789" spans="1:9" ht="15" customHeight="1" x14ac:dyDescent="0.25">
      <c r="A789" s="57">
        <v>45671</v>
      </c>
      <c r="B789" t="s">
        <v>128</v>
      </c>
      <c r="C789" t="s">
        <v>157</v>
      </c>
      <c r="D789" t="s">
        <v>88</v>
      </c>
      <c r="E789" t="s">
        <v>188</v>
      </c>
      <c r="F789" s="24"/>
      <c r="G789" s="24">
        <v>1000</v>
      </c>
      <c r="H789" t="s">
        <v>591</v>
      </c>
      <c r="I789" s="74">
        <f t="shared" si="12"/>
        <v>0</v>
      </c>
    </row>
    <row r="790" spans="1:9" ht="15" customHeight="1" x14ac:dyDescent="0.25">
      <c r="A790" s="57">
        <v>45683</v>
      </c>
      <c r="B790" t="s">
        <v>204</v>
      </c>
      <c r="C790" t="s">
        <v>160</v>
      </c>
      <c r="D790" t="s">
        <v>67</v>
      </c>
      <c r="F790" s="24">
        <v>14500</v>
      </c>
      <c r="G790" s="24"/>
      <c r="H790" t="s">
        <v>592</v>
      </c>
      <c r="I790" s="74">
        <f t="shared" si="12"/>
        <v>0</v>
      </c>
    </row>
    <row r="791" spans="1:9" ht="15" customHeight="1" x14ac:dyDescent="0.25">
      <c r="A791" s="57">
        <v>45683</v>
      </c>
      <c r="B791" t="s">
        <v>204</v>
      </c>
      <c r="C791" t="s">
        <v>157</v>
      </c>
      <c r="D791" t="s">
        <v>92</v>
      </c>
      <c r="F791" s="24"/>
      <c r="G791" s="24">
        <v>14500</v>
      </c>
      <c r="H791" t="s">
        <v>592</v>
      </c>
      <c r="I791" s="74">
        <f t="shared" si="12"/>
        <v>0</v>
      </c>
    </row>
    <row r="792" spans="1:9" ht="15" customHeight="1" x14ac:dyDescent="0.25">
      <c r="A792" s="57">
        <v>45684</v>
      </c>
      <c r="B792" t="s">
        <v>207</v>
      </c>
      <c r="C792" t="s">
        <v>160</v>
      </c>
      <c r="D792" t="s">
        <v>73</v>
      </c>
      <c r="F792" s="24">
        <v>600</v>
      </c>
      <c r="G792" s="24"/>
      <c r="H792" t="s">
        <v>593</v>
      </c>
      <c r="I792" s="74">
        <f t="shared" si="12"/>
        <v>0</v>
      </c>
    </row>
    <row r="793" spans="1:9" ht="15" customHeight="1" x14ac:dyDescent="0.25">
      <c r="A793" s="57">
        <v>45684</v>
      </c>
      <c r="B793" t="s">
        <v>207</v>
      </c>
      <c r="C793" t="s">
        <v>157</v>
      </c>
      <c r="D793" t="s">
        <v>100</v>
      </c>
      <c r="F793" s="24"/>
      <c r="G793" s="24">
        <v>600</v>
      </c>
      <c r="H793" t="s">
        <v>593</v>
      </c>
      <c r="I793" s="74">
        <f t="shared" si="12"/>
        <v>0</v>
      </c>
    </row>
    <row r="794" spans="1:9" ht="15" customHeight="1" x14ac:dyDescent="0.25">
      <c r="A794" s="57">
        <v>45690</v>
      </c>
      <c r="B794" t="s">
        <v>181</v>
      </c>
      <c r="C794" t="s">
        <v>157</v>
      </c>
      <c r="D794" t="s">
        <v>90</v>
      </c>
      <c r="F794" s="24">
        <v>20000</v>
      </c>
      <c r="G794" s="24"/>
      <c r="H794" t="s">
        <v>594</v>
      </c>
      <c r="I794" s="74">
        <f t="shared" si="12"/>
        <v>0</v>
      </c>
    </row>
    <row r="795" spans="1:9" ht="15" customHeight="1" x14ac:dyDescent="0.25">
      <c r="A795" s="57">
        <v>45690</v>
      </c>
      <c r="B795" t="s">
        <v>181</v>
      </c>
      <c r="C795" t="s">
        <v>60</v>
      </c>
      <c r="D795" t="s">
        <v>63</v>
      </c>
      <c r="F795" s="24"/>
      <c r="G795" s="24">
        <v>20000</v>
      </c>
      <c r="H795" t="s">
        <v>594</v>
      </c>
      <c r="I795" s="74">
        <f t="shared" si="12"/>
        <v>0</v>
      </c>
    </row>
    <row r="796" spans="1:9" ht="15" customHeight="1" x14ac:dyDescent="0.25">
      <c r="A796" s="57">
        <v>45691</v>
      </c>
      <c r="B796" t="s">
        <v>184</v>
      </c>
      <c r="C796" t="s">
        <v>157</v>
      </c>
      <c r="D796" t="s">
        <v>92</v>
      </c>
      <c r="F796" s="24">
        <v>19500</v>
      </c>
      <c r="G796" s="24"/>
      <c r="H796" t="s">
        <v>595</v>
      </c>
      <c r="I796" s="74">
        <f t="shared" si="12"/>
        <v>0</v>
      </c>
    </row>
    <row r="797" spans="1:9" ht="15" customHeight="1" x14ac:dyDescent="0.25">
      <c r="A797" s="57">
        <v>45691</v>
      </c>
      <c r="B797" t="s">
        <v>184</v>
      </c>
      <c r="C797" t="s">
        <v>158</v>
      </c>
      <c r="D797" t="s">
        <v>89</v>
      </c>
      <c r="F797" s="24"/>
      <c r="G797" s="24">
        <v>19500</v>
      </c>
      <c r="H797" t="s">
        <v>595</v>
      </c>
      <c r="I797" s="74">
        <f t="shared" si="12"/>
        <v>0</v>
      </c>
    </row>
    <row r="798" spans="1:9" ht="15" customHeight="1" x14ac:dyDescent="0.25">
      <c r="A798" s="57">
        <v>45692</v>
      </c>
      <c r="B798" t="s">
        <v>122</v>
      </c>
      <c r="C798" t="s">
        <v>158</v>
      </c>
      <c r="D798" t="s">
        <v>89</v>
      </c>
      <c r="F798" s="24">
        <v>0</v>
      </c>
      <c r="G798" s="24"/>
      <c r="H798" t="s">
        <v>596</v>
      </c>
      <c r="I798" s="74">
        <f t="shared" si="12"/>
        <v>0</v>
      </c>
    </row>
    <row r="799" spans="1:9" ht="15" customHeight="1" x14ac:dyDescent="0.25">
      <c r="A799" s="57">
        <v>45692</v>
      </c>
      <c r="B799" t="s">
        <v>122</v>
      </c>
      <c r="C799" t="s">
        <v>157</v>
      </c>
      <c r="D799" t="s">
        <v>88</v>
      </c>
      <c r="E799" t="s">
        <v>188</v>
      </c>
      <c r="F799" s="24"/>
      <c r="G799" s="24">
        <v>0</v>
      </c>
      <c r="H799" t="s">
        <v>596</v>
      </c>
      <c r="I799" s="74">
        <f t="shared" si="12"/>
        <v>0</v>
      </c>
    </row>
    <row r="800" spans="1:9" ht="15" customHeight="1" x14ac:dyDescent="0.25">
      <c r="A800" s="57">
        <v>45693</v>
      </c>
      <c r="B800" t="s">
        <v>115</v>
      </c>
      <c r="C800" t="s">
        <v>157</v>
      </c>
      <c r="D800" t="s">
        <v>88</v>
      </c>
      <c r="E800" t="s">
        <v>190</v>
      </c>
      <c r="F800" s="24">
        <v>21000</v>
      </c>
      <c r="G800" s="24"/>
      <c r="H800" t="s">
        <v>597</v>
      </c>
      <c r="I800" s="74">
        <f t="shared" si="12"/>
        <v>0</v>
      </c>
    </row>
    <row r="801" spans="1:9" ht="15" customHeight="1" x14ac:dyDescent="0.25">
      <c r="A801" s="57">
        <v>45693</v>
      </c>
      <c r="B801" t="s">
        <v>115</v>
      </c>
      <c r="C801" t="s">
        <v>60</v>
      </c>
      <c r="D801" t="s">
        <v>63</v>
      </c>
      <c r="F801" s="24"/>
      <c r="G801" s="24">
        <v>21000</v>
      </c>
      <c r="H801" t="s">
        <v>597</v>
      </c>
      <c r="I801" s="74">
        <f t="shared" si="12"/>
        <v>0</v>
      </c>
    </row>
    <row r="802" spans="1:9" ht="15" customHeight="1" x14ac:dyDescent="0.25">
      <c r="A802" s="57">
        <v>45694</v>
      </c>
      <c r="B802" t="s">
        <v>113</v>
      </c>
      <c r="C802" t="s">
        <v>157</v>
      </c>
      <c r="D802" t="s">
        <v>88</v>
      </c>
      <c r="E802" t="s">
        <v>190</v>
      </c>
      <c r="F802" s="24">
        <v>6500</v>
      </c>
      <c r="G802" s="24"/>
      <c r="H802" t="s">
        <v>598</v>
      </c>
      <c r="I802" s="74">
        <f t="shared" si="12"/>
        <v>0</v>
      </c>
    </row>
    <row r="803" spans="1:9" ht="15" customHeight="1" x14ac:dyDescent="0.25">
      <c r="A803" s="57">
        <v>45694</v>
      </c>
      <c r="B803" t="s">
        <v>113</v>
      </c>
      <c r="C803" t="s">
        <v>60</v>
      </c>
      <c r="D803" t="s">
        <v>61</v>
      </c>
      <c r="F803" s="24"/>
      <c r="G803" s="24">
        <v>6500</v>
      </c>
      <c r="H803" t="s">
        <v>598</v>
      </c>
      <c r="I803" s="74">
        <f t="shared" si="12"/>
        <v>0</v>
      </c>
    </row>
    <row r="804" spans="1:9" ht="15" customHeight="1" x14ac:dyDescent="0.25">
      <c r="A804" s="57">
        <v>45695</v>
      </c>
      <c r="B804" t="s">
        <v>194</v>
      </c>
      <c r="C804" t="s">
        <v>157</v>
      </c>
      <c r="D804" t="s">
        <v>90</v>
      </c>
      <c r="F804" s="24">
        <v>6000</v>
      </c>
      <c r="G804" s="24"/>
      <c r="H804" t="s">
        <v>599</v>
      </c>
      <c r="I804" s="74">
        <f t="shared" si="12"/>
        <v>0</v>
      </c>
    </row>
    <row r="805" spans="1:9" ht="15" customHeight="1" x14ac:dyDescent="0.25">
      <c r="A805" s="57">
        <v>45695</v>
      </c>
      <c r="B805" t="s">
        <v>194</v>
      </c>
      <c r="C805" t="s">
        <v>60</v>
      </c>
      <c r="D805" t="s">
        <v>64</v>
      </c>
      <c r="F805" s="24"/>
      <c r="G805" s="24">
        <v>6000</v>
      </c>
      <c r="H805" t="s">
        <v>599</v>
      </c>
      <c r="I805" s="74">
        <f t="shared" si="12"/>
        <v>0</v>
      </c>
    </row>
    <row r="806" spans="1:9" ht="15" customHeight="1" x14ac:dyDescent="0.25">
      <c r="A806" s="57">
        <v>45696</v>
      </c>
      <c r="B806" t="s">
        <v>114</v>
      </c>
      <c r="C806" t="s">
        <v>157</v>
      </c>
      <c r="D806" t="s">
        <v>88</v>
      </c>
      <c r="E806" t="s">
        <v>190</v>
      </c>
      <c r="F806" s="24">
        <v>21000</v>
      </c>
      <c r="G806" s="24"/>
      <c r="H806" t="s">
        <v>600</v>
      </c>
      <c r="I806" s="74">
        <f t="shared" si="12"/>
        <v>0</v>
      </c>
    </row>
    <row r="807" spans="1:9" ht="15" customHeight="1" x14ac:dyDescent="0.25">
      <c r="A807" s="57">
        <v>45696</v>
      </c>
      <c r="B807" t="s">
        <v>114</v>
      </c>
      <c r="C807" t="s">
        <v>157</v>
      </c>
      <c r="D807" t="s">
        <v>90</v>
      </c>
      <c r="F807" s="24"/>
      <c r="G807" s="24">
        <v>21000</v>
      </c>
      <c r="H807" t="s">
        <v>600</v>
      </c>
      <c r="I807" s="74">
        <f t="shared" si="12"/>
        <v>0</v>
      </c>
    </row>
    <row r="808" spans="1:9" ht="15" customHeight="1" x14ac:dyDescent="0.25">
      <c r="A808" s="57">
        <v>45697</v>
      </c>
      <c r="B808" t="s">
        <v>118</v>
      </c>
      <c r="C808" t="s">
        <v>160</v>
      </c>
      <c r="D808" t="s">
        <v>77</v>
      </c>
      <c r="F808" s="24">
        <v>6000</v>
      </c>
      <c r="G808" s="24"/>
      <c r="H808" t="s">
        <v>601</v>
      </c>
      <c r="I808" s="74">
        <f t="shared" si="12"/>
        <v>0</v>
      </c>
    </row>
    <row r="809" spans="1:9" ht="15" customHeight="1" x14ac:dyDescent="0.25">
      <c r="A809" s="57">
        <v>45697</v>
      </c>
      <c r="B809" t="s">
        <v>118</v>
      </c>
      <c r="C809" t="s">
        <v>157</v>
      </c>
      <c r="D809" t="s">
        <v>88</v>
      </c>
      <c r="E809" t="s">
        <v>188</v>
      </c>
      <c r="F809" s="24"/>
      <c r="G809" s="24">
        <v>6000</v>
      </c>
      <c r="H809" t="s">
        <v>601</v>
      </c>
      <c r="I809" s="74">
        <f t="shared" si="12"/>
        <v>0</v>
      </c>
    </row>
    <row r="810" spans="1:9" ht="15" customHeight="1" x14ac:dyDescent="0.25">
      <c r="A810" s="57">
        <v>45698</v>
      </c>
      <c r="B810" t="s">
        <v>119</v>
      </c>
      <c r="C810" t="s">
        <v>160</v>
      </c>
      <c r="D810" t="s">
        <v>72</v>
      </c>
      <c r="F810" s="24">
        <v>5000</v>
      </c>
      <c r="G810" s="24"/>
      <c r="H810" t="s">
        <v>602</v>
      </c>
      <c r="I810" s="74">
        <f t="shared" si="12"/>
        <v>0</v>
      </c>
    </row>
    <row r="811" spans="1:9" ht="15" customHeight="1" x14ac:dyDescent="0.25">
      <c r="A811" s="57">
        <v>45698</v>
      </c>
      <c r="B811" t="s">
        <v>119</v>
      </c>
      <c r="C811" t="s">
        <v>157</v>
      </c>
      <c r="D811" t="s">
        <v>88</v>
      </c>
      <c r="E811" t="s">
        <v>188</v>
      </c>
      <c r="F811" s="24"/>
      <c r="G811" s="24">
        <v>5000</v>
      </c>
      <c r="H811" t="s">
        <v>602</v>
      </c>
      <c r="I811" s="74">
        <f t="shared" si="12"/>
        <v>0</v>
      </c>
    </row>
    <row r="812" spans="1:9" ht="15" customHeight="1" x14ac:dyDescent="0.25">
      <c r="A812" s="57">
        <v>45699</v>
      </c>
      <c r="B812" t="s">
        <v>120</v>
      </c>
      <c r="C812" t="s">
        <v>160</v>
      </c>
      <c r="D812" t="s">
        <v>81</v>
      </c>
      <c r="F812" s="24">
        <v>2000</v>
      </c>
      <c r="G812" s="24"/>
      <c r="H812" t="s">
        <v>603</v>
      </c>
      <c r="I812" s="74">
        <f t="shared" si="12"/>
        <v>0</v>
      </c>
    </row>
    <row r="813" spans="1:9" ht="15" customHeight="1" x14ac:dyDescent="0.25">
      <c r="A813" s="57">
        <v>45699</v>
      </c>
      <c r="B813" t="s">
        <v>120</v>
      </c>
      <c r="C813" t="s">
        <v>157</v>
      </c>
      <c r="D813" t="s">
        <v>88</v>
      </c>
      <c r="E813" t="s">
        <v>188</v>
      </c>
      <c r="F813" s="24"/>
      <c r="G813" s="24">
        <v>2000</v>
      </c>
      <c r="H813" t="s">
        <v>603</v>
      </c>
      <c r="I813" s="74">
        <f t="shared" si="12"/>
        <v>0</v>
      </c>
    </row>
    <row r="814" spans="1:9" ht="15" customHeight="1" x14ac:dyDescent="0.25">
      <c r="A814" s="57">
        <v>45700</v>
      </c>
      <c r="B814" t="s">
        <v>121</v>
      </c>
      <c r="C814" t="s">
        <v>160</v>
      </c>
      <c r="D814" t="s">
        <v>71</v>
      </c>
      <c r="F814" s="24">
        <v>1000</v>
      </c>
      <c r="G814" s="24"/>
      <c r="H814" t="s">
        <v>604</v>
      </c>
      <c r="I814" s="74">
        <f t="shared" si="12"/>
        <v>0</v>
      </c>
    </row>
    <row r="815" spans="1:9" ht="15" customHeight="1" x14ac:dyDescent="0.25">
      <c r="A815" s="57">
        <v>45700</v>
      </c>
      <c r="B815" t="s">
        <v>121</v>
      </c>
      <c r="C815" t="s">
        <v>157</v>
      </c>
      <c r="D815" t="s">
        <v>88</v>
      </c>
      <c r="E815" t="s">
        <v>188</v>
      </c>
      <c r="F815" s="24"/>
      <c r="G815" s="24">
        <v>1000</v>
      </c>
      <c r="H815" t="s">
        <v>604</v>
      </c>
      <c r="I815" s="74">
        <f t="shared" si="12"/>
        <v>0</v>
      </c>
    </row>
    <row r="816" spans="1:9" ht="15" customHeight="1" x14ac:dyDescent="0.25">
      <c r="A816" s="57">
        <v>45701</v>
      </c>
      <c r="B816" t="s">
        <v>125</v>
      </c>
      <c r="C816" t="s">
        <v>160</v>
      </c>
      <c r="D816" t="s">
        <v>76</v>
      </c>
      <c r="F816" s="24">
        <v>300</v>
      </c>
      <c r="G816" s="24"/>
      <c r="H816" t="s">
        <v>605</v>
      </c>
      <c r="I816" s="74">
        <f t="shared" si="12"/>
        <v>0</v>
      </c>
    </row>
    <row r="817" spans="1:9" ht="15" customHeight="1" x14ac:dyDescent="0.25">
      <c r="A817" s="57">
        <v>45701</v>
      </c>
      <c r="B817" t="s">
        <v>125</v>
      </c>
      <c r="C817" t="s">
        <v>157</v>
      </c>
      <c r="D817" t="s">
        <v>88</v>
      </c>
      <c r="E817" t="s">
        <v>188</v>
      </c>
      <c r="F817" s="24"/>
      <c r="G817" s="24">
        <v>300</v>
      </c>
      <c r="H817" t="s">
        <v>605</v>
      </c>
      <c r="I817" s="74">
        <f t="shared" si="12"/>
        <v>0</v>
      </c>
    </row>
    <row r="818" spans="1:9" ht="15" customHeight="1" x14ac:dyDescent="0.25">
      <c r="A818" s="57">
        <v>45702</v>
      </c>
      <c r="B818" t="s">
        <v>128</v>
      </c>
      <c r="C818" t="s">
        <v>160</v>
      </c>
      <c r="D818" t="s">
        <v>75</v>
      </c>
      <c r="F818" s="24">
        <v>500</v>
      </c>
      <c r="G818" s="24"/>
      <c r="H818" t="s">
        <v>606</v>
      </c>
      <c r="I818" s="74">
        <f t="shared" si="12"/>
        <v>0</v>
      </c>
    </row>
    <row r="819" spans="1:9" ht="15" customHeight="1" x14ac:dyDescent="0.25">
      <c r="A819" s="57">
        <v>45702</v>
      </c>
      <c r="B819" t="s">
        <v>128</v>
      </c>
      <c r="C819" t="s">
        <v>157</v>
      </c>
      <c r="D819" t="s">
        <v>88</v>
      </c>
      <c r="E819" t="s">
        <v>188</v>
      </c>
      <c r="F819" s="24"/>
      <c r="G819" s="24">
        <v>500</v>
      </c>
      <c r="H819" t="s">
        <v>606</v>
      </c>
      <c r="I819" s="74">
        <f t="shared" si="12"/>
        <v>0</v>
      </c>
    </row>
    <row r="820" spans="1:9" ht="15" customHeight="1" x14ac:dyDescent="0.25">
      <c r="A820" s="57">
        <v>45714</v>
      </c>
      <c r="B820" t="s">
        <v>204</v>
      </c>
      <c r="C820" t="s">
        <v>160</v>
      </c>
      <c r="D820" t="s">
        <v>67</v>
      </c>
      <c r="F820" s="24">
        <v>17500</v>
      </c>
      <c r="G820" s="24"/>
      <c r="H820" t="s">
        <v>607</v>
      </c>
      <c r="I820" s="74">
        <f t="shared" si="12"/>
        <v>0</v>
      </c>
    </row>
    <row r="821" spans="1:9" ht="15" customHeight="1" x14ac:dyDescent="0.25">
      <c r="A821" s="57">
        <v>45714</v>
      </c>
      <c r="B821" t="s">
        <v>204</v>
      </c>
      <c r="C821" t="s">
        <v>157</v>
      </c>
      <c r="D821" t="s">
        <v>92</v>
      </c>
      <c r="F821" s="24"/>
      <c r="G821" s="24">
        <v>17500</v>
      </c>
      <c r="H821" t="s">
        <v>607</v>
      </c>
      <c r="I821" s="74">
        <f t="shared" si="12"/>
        <v>0</v>
      </c>
    </row>
    <row r="822" spans="1:9" ht="15" customHeight="1" x14ac:dyDescent="0.25">
      <c r="A822" s="57">
        <v>45715</v>
      </c>
      <c r="B822" t="s">
        <v>207</v>
      </c>
      <c r="C822" t="s">
        <v>160</v>
      </c>
      <c r="D822" t="s">
        <v>73</v>
      </c>
      <c r="F822" s="24">
        <v>1000</v>
      </c>
      <c r="G822" s="24"/>
      <c r="H822" t="s">
        <v>608</v>
      </c>
      <c r="I822" s="74">
        <f t="shared" si="12"/>
        <v>0</v>
      </c>
    </row>
    <row r="823" spans="1:9" ht="15" customHeight="1" x14ac:dyDescent="0.25">
      <c r="A823" s="57">
        <v>45715</v>
      </c>
      <c r="B823" t="s">
        <v>207</v>
      </c>
      <c r="C823" t="s">
        <v>157</v>
      </c>
      <c r="D823" t="s">
        <v>100</v>
      </c>
      <c r="F823" s="24"/>
      <c r="G823" s="24">
        <v>1000</v>
      </c>
      <c r="H823" t="s">
        <v>608</v>
      </c>
      <c r="I823" s="74">
        <f t="shared" si="12"/>
        <v>0</v>
      </c>
    </row>
    <row r="824" spans="1:9" ht="15" customHeight="1" x14ac:dyDescent="0.25">
      <c r="A824" s="57">
        <v>45718</v>
      </c>
      <c r="B824" t="s">
        <v>141</v>
      </c>
      <c r="C824" t="s">
        <v>157</v>
      </c>
      <c r="D824" t="s">
        <v>88</v>
      </c>
      <c r="E824" t="s">
        <v>178</v>
      </c>
      <c r="F824" s="24">
        <v>20000</v>
      </c>
      <c r="G824" s="24"/>
      <c r="H824" t="s">
        <v>609</v>
      </c>
      <c r="I824" s="74">
        <f t="shared" si="12"/>
        <v>0</v>
      </c>
    </row>
    <row r="825" spans="1:9" ht="15" customHeight="1" x14ac:dyDescent="0.25">
      <c r="A825" s="57">
        <v>45718</v>
      </c>
      <c r="B825" t="s">
        <v>141</v>
      </c>
      <c r="C825" t="s">
        <v>158</v>
      </c>
      <c r="D825" t="s">
        <v>97</v>
      </c>
      <c r="F825" s="24"/>
      <c r="G825" s="24">
        <v>20000</v>
      </c>
      <c r="H825" t="s">
        <v>609</v>
      </c>
      <c r="I825" s="74">
        <f t="shared" si="12"/>
        <v>0</v>
      </c>
    </row>
    <row r="826" spans="1:9" ht="15" customHeight="1" x14ac:dyDescent="0.25">
      <c r="A826" s="57">
        <v>45718</v>
      </c>
      <c r="B826" t="s">
        <v>181</v>
      </c>
      <c r="C826" t="s">
        <v>157</v>
      </c>
      <c r="D826" t="s">
        <v>90</v>
      </c>
      <c r="F826" s="24">
        <v>27000</v>
      </c>
      <c r="G826" s="24"/>
      <c r="H826" t="s">
        <v>610</v>
      </c>
      <c r="I826" s="74">
        <f t="shared" si="12"/>
        <v>0</v>
      </c>
    </row>
    <row r="827" spans="1:9" ht="15" customHeight="1" x14ac:dyDescent="0.25">
      <c r="A827" s="57">
        <v>45718</v>
      </c>
      <c r="B827" t="s">
        <v>181</v>
      </c>
      <c r="C827" t="s">
        <v>60</v>
      </c>
      <c r="D827" t="s">
        <v>63</v>
      </c>
      <c r="F827" s="24"/>
      <c r="G827" s="24">
        <v>27000</v>
      </c>
      <c r="H827" t="s">
        <v>610</v>
      </c>
      <c r="I827" s="74">
        <f t="shared" si="12"/>
        <v>0</v>
      </c>
    </row>
    <row r="828" spans="1:9" ht="15" customHeight="1" x14ac:dyDescent="0.25">
      <c r="A828" s="57">
        <v>45719</v>
      </c>
      <c r="B828" t="s">
        <v>184</v>
      </c>
      <c r="C828" t="s">
        <v>157</v>
      </c>
      <c r="D828" t="s">
        <v>92</v>
      </c>
      <c r="F828" s="24">
        <v>25500</v>
      </c>
      <c r="G828" s="24"/>
      <c r="H828" t="s">
        <v>611</v>
      </c>
      <c r="I828" s="74">
        <f t="shared" si="12"/>
        <v>0</v>
      </c>
    </row>
    <row r="829" spans="1:9" ht="15" customHeight="1" x14ac:dyDescent="0.25">
      <c r="A829" s="57">
        <v>45719</v>
      </c>
      <c r="B829" t="s">
        <v>184</v>
      </c>
      <c r="C829" t="s">
        <v>158</v>
      </c>
      <c r="D829" t="s">
        <v>89</v>
      </c>
      <c r="F829" s="24"/>
      <c r="G829" s="24">
        <v>25500</v>
      </c>
      <c r="H829" t="s">
        <v>611</v>
      </c>
      <c r="I829" s="74">
        <f t="shared" si="12"/>
        <v>0</v>
      </c>
    </row>
    <row r="830" spans="1:9" ht="15" customHeight="1" x14ac:dyDescent="0.25">
      <c r="A830" s="57">
        <v>45720</v>
      </c>
      <c r="B830" t="s">
        <v>122</v>
      </c>
      <c r="C830" t="s">
        <v>158</v>
      </c>
      <c r="D830" t="s">
        <v>89</v>
      </c>
      <c r="F830" s="24">
        <v>0</v>
      </c>
      <c r="G830" s="24"/>
      <c r="H830" t="s">
        <v>612</v>
      </c>
      <c r="I830" s="74">
        <f t="shared" si="12"/>
        <v>0</v>
      </c>
    </row>
    <row r="831" spans="1:9" ht="15" customHeight="1" x14ac:dyDescent="0.25">
      <c r="A831" s="57">
        <v>45720</v>
      </c>
      <c r="B831" t="s">
        <v>122</v>
      </c>
      <c r="C831" t="s">
        <v>157</v>
      </c>
      <c r="D831" t="s">
        <v>88</v>
      </c>
      <c r="E831" t="s">
        <v>188</v>
      </c>
      <c r="F831" s="24"/>
      <c r="G831" s="24">
        <v>0</v>
      </c>
      <c r="H831" t="s">
        <v>612</v>
      </c>
      <c r="I831" s="74">
        <f t="shared" si="12"/>
        <v>0</v>
      </c>
    </row>
    <row r="832" spans="1:9" ht="15" customHeight="1" x14ac:dyDescent="0.25">
      <c r="A832" s="57">
        <v>45721</v>
      </c>
      <c r="B832" t="s">
        <v>115</v>
      </c>
      <c r="C832" t="s">
        <v>157</v>
      </c>
      <c r="D832" t="s">
        <v>88</v>
      </c>
      <c r="E832" t="s">
        <v>190</v>
      </c>
      <c r="F832" s="24">
        <v>16000</v>
      </c>
      <c r="G832" s="24"/>
      <c r="H832" t="s">
        <v>613</v>
      </c>
      <c r="I832" s="74">
        <f t="shared" si="12"/>
        <v>0</v>
      </c>
    </row>
    <row r="833" spans="1:9" ht="15" customHeight="1" x14ac:dyDescent="0.25">
      <c r="A833" s="57">
        <v>45721</v>
      </c>
      <c r="B833" t="s">
        <v>115</v>
      </c>
      <c r="C833" t="s">
        <v>60</v>
      </c>
      <c r="D833" t="s">
        <v>63</v>
      </c>
      <c r="F833" s="24"/>
      <c r="G833" s="24">
        <v>16000</v>
      </c>
      <c r="H833" t="s">
        <v>613</v>
      </c>
      <c r="I833" s="74">
        <f t="shared" si="12"/>
        <v>0</v>
      </c>
    </row>
    <row r="834" spans="1:9" ht="15" customHeight="1" x14ac:dyDescent="0.25">
      <c r="A834" s="57">
        <v>45722</v>
      </c>
      <c r="B834" t="s">
        <v>113</v>
      </c>
      <c r="C834" t="s">
        <v>157</v>
      </c>
      <c r="D834" t="s">
        <v>88</v>
      </c>
      <c r="E834" t="s">
        <v>190</v>
      </c>
      <c r="F834" s="24">
        <v>8000</v>
      </c>
      <c r="G834" s="24"/>
      <c r="H834" t="s">
        <v>614</v>
      </c>
      <c r="I834" s="74">
        <f t="shared" ref="I834:I897" si="13">SUMIF($H:$H,H834,$F:$F)-SUMIF($H:$H,H834,$G:$G)</f>
        <v>0</v>
      </c>
    </row>
    <row r="835" spans="1:9" ht="15" customHeight="1" x14ac:dyDescent="0.25">
      <c r="A835" s="57">
        <v>45722</v>
      </c>
      <c r="B835" t="s">
        <v>113</v>
      </c>
      <c r="C835" t="s">
        <v>60</v>
      </c>
      <c r="D835" t="s">
        <v>61</v>
      </c>
      <c r="F835" s="24"/>
      <c r="G835" s="24">
        <v>8000</v>
      </c>
      <c r="H835" t="s">
        <v>614</v>
      </c>
      <c r="I835" s="74">
        <f t="shared" si="13"/>
        <v>0</v>
      </c>
    </row>
    <row r="836" spans="1:9" ht="15" customHeight="1" x14ac:dyDescent="0.25">
      <c r="A836" s="57">
        <v>45723</v>
      </c>
      <c r="B836" t="s">
        <v>194</v>
      </c>
      <c r="C836" t="s">
        <v>157</v>
      </c>
      <c r="D836" t="s">
        <v>90</v>
      </c>
      <c r="F836" s="24">
        <v>9000</v>
      </c>
      <c r="G836" s="24"/>
      <c r="H836" t="s">
        <v>615</v>
      </c>
      <c r="I836" s="74">
        <f t="shared" si="13"/>
        <v>0</v>
      </c>
    </row>
    <row r="837" spans="1:9" ht="15" customHeight="1" x14ac:dyDescent="0.25">
      <c r="A837" s="57">
        <v>45723</v>
      </c>
      <c r="B837" t="s">
        <v>194</v>
      </c>
      <c r="C837" t="s">
        <v>60</v>
      </c>
      <c r="D837" t="s">
        <v>64</v>
      </c>
      <c r="F837" s="24"/>
      <c r="G837" s="24">
        <v>9000</v>
      </c>
      <c r="H837" t="s">
        <v>615</v>
      </c>
      <c r="I837" s="74">
        <f t="shared" si="13"/>
        <v>0</v>
      </c>
    </row>
    <row r="838" spans="1:9" ht="15" customHeight="1" x14ac:dyDescent="0.25">
      <c r="A838" s="57">
        <v>45724</v>
      </c>
      <c r="B838" t="s">
        <v>114</v>
      </c>
      <c r="C838" t="s">
        <v>157</v>
      </c>
      <c r="D838" t="s">
        <v>88</v>
      </c>
      <c r="E838" t="s">
        <v>190</v>
      </c>
      <c r="F838" s="24">
        <v>22000</v>
      </c>
      <c r="G838" s="24"/>
      <c r="H838" t="s">
        <v>616</v>
      </c>
      <c r="I838" s="74">
        <f t="shared" si="13"/>
        <v>0</v>
      </c>
    </row>
    <row r="839" spans="1:9" ht="15" customHeight="1" x14ac:dyDescent="0.25">
      <c r="A839" s="57">
        <v>45724</v>
      </c>
      <c r="B839" t="s">
        <v>114</v>
      </c>
      <c r="C839" t="s">
        <v>157</v>
      </c>
      <c r="D839" t="s">
        <v>90</v>
      </c>
      <c r="F839" s="24"/>
      <c r="G839" s="24">
        <v>22000</v>
      </c>
      <c r="H839" t="s">
        <v>616</v>
      </c>
      <c r="I839" s="74">
        <f t="shared" si="13"/>
        <v>0</v>
      </c>
    </row>
    <row r="840" spans="1:9" ht="15" customHeight="1" x14ac:dyDescent="0.25">
      <c r="A840" s="57">
        <v>45725</v>
      </c>
      <c r="B840" t="s">
        <v>118</v>
      </c>
      <c r="C840" t="s">
        <v>160</v>
      </c>
      <c r="D840" t="s">
        <v>77</v>
      </c>
      <c r="F840" s="24">
        <v>6000</v>
      </c>
      <c r="G840" s="24"/>
      <c r="H840" t="s">
        <v>617</v>
      </c>
      <c r="I840" s="74">
        <f t="shared" si="13"/>
        <v>0</v>
      </c>
    </row>
    <row r="841" spans="1:9" ht="15" customHeight="1" x14ac:dyDescent="0.25">
      <c r="A841" s="57">
        <v>45725</v>
      </c>
      <c r="B841" t="s">
        <v>118</v>
      </c>
      <c r="C841" t="s">
        <v>157</v>
      </c>
      <c r="D841" t="s">
        <v>88</v>
      </c>
      <c r="E841" t="s">
        <v>188</v>
      </c>
      <c r="F841" s="24"/>
      <c r="G841" s="24">
        <v>6000</v>
      </c>
      <c r="H841" t="s">
        <v>617</v>
      </c>
      <c r="I841" s="74">
        <f t="shared" si="13"/>
        <v>0</v>
      </c>
    </row>
    <row r="842" spans="1:9" ht="15" customHeight="1" x14ac:dyDescent="0.25">
      <c r="A842" s="57">
        <v>45726</v>
      </c>
      <c r="B842" t="s">
        <v>119</v>
      </c>
      <c r="C842" t="s">
        <v>160</v>
      </c>
      <c r="D842" t="s">
        <v>72</v>
      </c>
      <c r="F842" s="24">
        <v>6000</v>
      </c>
      <c r="G842" s="24"/>
      <c r="H842" t="s">
        <v>618</v>
      </c>
      <c r="I842" s="74">
        <f t="shared" si="13"/>
        <v>0</v>
      </c>
    </row>
    <row r="843" spans="1:9" ht="15" customHeight="1" x14ac:dyDescent="0.25">
      <c r="A843" s="57">
        <v>45726</v>
      </c>
      <c r="B843" t="s">
        <v>119</v>
      </c>
      <c r="C843" t="s">
        <v>157</v>
      </c>
      <c r="D843" t="s">
        <v>88</v>
      </c>
      <c r="E843" t="s">
        <v>188</v>
      </c>
      <c r="F843" s="24"/>
      <c r="G843" s="24">
        <v>6000</v>
      </c>
      <c r="H843" t="s">
        <v>618</v>
      </c>
      <c r="I843" s="74">
        <f t="shared" si="13"/>
        <v>0</v>
      </c>
    </row>
    <row r="844" spans="1:9" ht="15" customHeight="1" x14ac:dyDescent="0.25">
      <c r="A844" s="57">
        <v>45727</v>
      </c>
      <c r="B844" t="s">
        <v>120</v>
      </c>
      <c r="C844" t="s">
        <v>160</v>
      </c>
      <c r="D844" t="s">
        <v>81</v>
      </c>
      <c r="F844" s="24">
        <v>1000</v>
      </c>
      <c r="G844" s="24"/>
      <c r="H844" t="s">
        <v>619</v>
      </c>
      <c r="I844" s="74">
        <f t="shared" si="13"/>
        <v>0</v>
      </c>
    </row>
    <row r="845" spans="1:9" ht="15" customHeight="1" x14ac:dyDescent="0.25">
      <c r="A845" s="57">
        <v>45727</v>
      </c>
      <c r="B845" t="s">
        <v>120</v>
      </c>
      <c r="C845" t="s">
        <v>157</v>
      </c>
      <c r="D845" t="s">
        <v>88</v>
      </c>
      <c r="E845" t="s">
        <v>188</v>
      </c>
      <c r="F845" s="24"/>
      <c r="G845" s="24">
        <v>1000</v>
      </c>
      <c r="H845" t="s">
        <v>619</v>
      </c>
      <c r="I845" s="74">
        <f t="shared" si="13"/>
        <v>0</v>
      </c>
    </row>
    <row r="846" spans="1:9" ht="15" customHeight="1" x14ac:dyDescent="0.25">
      <c r="A846" s="57">
        <v>45728</v>
      </c>
      <c r="B846" t="s">
        <v>121</v>
      </c>
      <c r="C846" t="s">
        <v>160</v>
      </c>
      <c r="D846" t="s">
        <v>71</v>
      </c>
      <c r="F846" s="24">
        <v>2000</v>
      </c>
      <c r="G846" s="24"/>
      <c r="H846" t="s">
        <v>620</v>
      </c>
      <c r="I846" s="74">
        <f t="shared" si="13"/>
        <v>0</v>
      </c>
    </row>
    <row r="847" spans="1:9" ht="15" customHeight="1" x14ac:dyDescent="0.25">
      <c r="A847" s="57">
        <v>45728</v>
      </c>
      <c r="B847" t="s">
        <v>121</v>
      </c>
      <c r="C847" t="s">
        <v>157</v>
      </c>
      <c r="D847" t="s">
        <v>88</v>
      </c>
      <c r="E847" t="s">
        <v>188</v>
      </c>
      <c r="F847" s="24"/>
      <c r="G847" s="24">
        <v>2000</v>
      </c>
      <c r="H847" t="s">
        <v>620</v>
      </c>
      <c r="I847" s="74">
        <f t="shared" si="13"/>
        <v>0</v>
      </c>
    </row>
    <row r="848" spans="1:9" ht="15" customHeight="1" x14ac:dyDescent="0.25">
      <c r="A848" s="57">
        <v>45729</v>
      </c>
      <c r="B848" t="s">
        <v>126</v>
      </c>
      <c r="C848" t="s">
        <v>160</v>
      </c>
      <c r="D848" t="s">
        <v>79</v>
      </c>
      <c r="F848" s="24">
        <v>2000</v>
      </c>
      <c r="G848" s="24"/>
      <c r="H848" t="s">
        <v>621</v>
      </c>
      <c r="I848" s="74">
        <f t="shared" si="13"/>
        <v>0</v>
      </c>
    </row>
    <row r="849" spans="1:9" ht="15" customHeight="1" x14ac:dyDescent="0.25">
      <c r="A849" s="57">
        <v>45729</v>
      </c>
      <c r="B849" t="s">
        <v>126</v>
      </c>
      <c r="C849" t="s">
        <v>157</v>
      </c>
      <c r="D849" t="s">
        <v>88</v>
      </c>
      <c r="E849" t="s">
        <v>188</v>
      </c>
      <c r="F849" s="24"/>
      <c r="G849" s="24">
        <v>2000</v>
      </c>
      <c r="H849" t="s">
        <v>621</v>
      </c>
      <c r="I849" s="74">
        <f t="shared" si="13"/>
        <v>0</v>
      </c>
    </row>
    <row r="850" spans="1:9" ht="15" customHeight="1" x14ac:dyDescent="0.25">
      <c r="A850" s="57">
        <v>45730</v>
      </c>
      <c r="B850" t="s">
        <v>128</v>
      </c>
      <c r="C850" t="s">
        <v>160</v>
      </c>
      <c r="D850" t="s">
        <v>75</v>
      </c>
      <c r="F850" s="24">
        <v>1000</v>
      </c>
      <c r="G850" s="24"/>
      <c r="H850" t="s">
        <v>622</v>
      </c>
      <c r="I850" s="74">
        <f t="shared" si="13"/>
        <v>0</v>
      </c>
    </row>
    <row r="851" spans="1:9" ht="15" customHeight="1" x14ac:dyDescent="0.25">
      <c r="A851" s="57">
        <v>45730</v>
      </c>
      <c r="B851" t="s">
        <v>128</v>
      </c>
      <c r="C851" t="s">
        <v>157</v>
      </c>
      <c r="D851" t="s">
        <v>88</v>
      </c>
      <c r="E851" t="s">
        <v>188</v>
      </c>
      <c r="F851" s="24"/>
      <c r="G851" s="24">
        <v>1000</v>
      </c>
      <c r="H851" t="s">
        <v>622</v>
      </c>
      <c r="I851" s="74">
        <f t="shared" si="13"/>
        <v>0</v>
      </c>
    </row>
    <row r="852" spans="1:9" ht="15" customHeight="1" x14ac:dyDescent="0.25">
      <c r="A852" s="57">
        <v>45732</v>
      </c>
      <c r="B852" t="s">
        <v>136</v>
      </c>
      <c r="C852" t="s">
        <v>157</v>
      </c>
      <c r="D852" t="s">
        <v>98</v>
      </c>
      <c r="F852" s="24">
        <v>5000</v>
      </c>
      <c r="G852" s="24"/>
      <c r="H852" t="s">
        <v>623</v>
      </c>
      <c r="I852" s="74">
        <f t="shared" si="13"/>
        <v>0</v>
      </c>
    </row>
    <row r="853" spans="1:9" ht="15" customHeight="1" x14ac:dyDescent="0.25">
      <c r="A853" s="57">
        <v>45732</v>
      </c>
      <c r="B853" t="s">
        <v>136</v>
      </c>
      <c r="C853" t="s">
        <v>157</v>
      </c>
      <c r="D853" t="s">
        <v>88</v>
      </c>
      <c r="E853" t="s">
        <v>242</v>
      </c>
      <c r="F853" s="24"/>
      <c r="G853" s="24">
        <v>5000</v>
      </c>
      <c r="H853" t="s">
        <v>623</v>
      </c>
      <c r="I853" s="74">
        <f t="shared" si="13"/>
        <v>0</v>
      </c>
    </row>
    <row r="854" spans="1:9" ht="15" customHeight="1" x14ac:dyDescent="0.25">
      <c r="A854" s="57">
        <v>45734</v>
      </c>
      <c r="B854" t="s">
        <v>133</v>
      </c>
      <c r="C854" t="s">
        <v>157</v>
      </c>
      <c r="D854" t="s">
        <v>88</v>
      </c>
      <c r="E854" t="s">
        <v>243</v>
      </c>
      <c r="F854" s="24">
        <v>1000</v>
      </c>
      <c r="G854" s="24"/>
      <c r="H854" t="s">
        <v>624</v>
      </c>
      <c r="I854" s="74">
        <f t="shared" si="13"/>
        <v>0</v>
      </c>
    </row>
    <row r="855" spans="1:9" ht="15" customHeight="1" x14ac:dyDescent="0.25">
      <c r="A855" s="57">
        <v>45734</v>
      </c>
      <c r="B855" t="s">
        <v>133</v>
      </c>
      <c r="C855" t="s">
        <v>60</v>
      </c>
      <c r="D855" t="s">
        <v>62</v>
      </c>
      <c r="F855" s="24"/>
      <c r="G855" s="24">
        <v>1000</v>
      </c>
      <c r="H855" t="s">
        <v>624</v>
      </c>
      <c r="I855" s="74">
        <f t="shared" si="13"/>
        <v>0</v>
      </c>
    </row>
    <row r="856" spans="1:9" ht="15" customHeight="1" x14ac:dyDescent="0.25">
      <c r="A856" s="57">
        <v>45742</v>
      </c>
      <c r="B856" t="s">
        <v>204</v>
      </c>
      <c r="C856" t="s">
        <v>160</v>
      </c>
      <c r="D856" t="s">
        <v>67</v>
      </c>
      <c r="F856" s="24">
        <v>19500</v>
      </c>
      <c r="G856" s="24"/>
      <c r="H856" t="s">
        <v>625</v>
      </c>
      <c r="I856" s="74">
        <f t="shared" si="13"/>
        <v>0</v>
      </c>
    </row>
    <row r="857" spans="1:9" ht="15" customHeight="1" x14ac:dyDescent="0.25">
      <c r="A857" s="57">
        <v>45742</v>
      </c>
      <c r="B857" t="s">
        <v>204</v>
      </c>
      <c r="C857" t="s">
        <v>157</v>
      </c>
      <c r="D857" t="s">
        <v>92</v>
      </c>
      <c r="F857" s="24"/>
      <c r="G857" s="24">
        <v>19500</v>
      </c>
      <c r="H857" t="s">
        <v>625</v>
      </c>
      <c r="I857" s="74">
        <f t="shared" si="13"/>
        <v>0</v>
      </c>
    </row>
    <row r="858" spans="1:9" ht="15" customHeight="1" x14ac:dyDescent="0.25">
      <c r="A858" s="57">
        <v>45743</v>
      </c>
      <c r="B858" t="s">
        <v>207</v>
      </c>
      <c r="C858" t="s">
        <v>160</v>
      </c>
      <c r="D858" t="s">
        <v>73</v>
      </c>
      <c r="F858" s="24">
        <v>600</v>
      </c>
      <c r="G858" s="24"/>
      <c r="H858" t="s">
        <v>626</v>
      </c>
      <c r="I858" s="74">
        <f t="shared" si="13"/>
        <v>0</v>
      </c>
    </row>
    <row r="859" spans="1:9" ht="15" customHeight="1" x14ac:dyDescent="0.25">
      <c r="A859" s="57">
        <v>45743</v>
      </c>
      <c r="B859" t="s">
        <v>207</v>
      </c>
      <c r="C859" t="s">
        <v>157</v>
      </c>
      <c r="D859" t="s">
        <v>100</v>
      </c>
      <c r="F859" s="24"/>
      <c r="G859" s="24">
        <v>600</v>
      </c>
      <c r="H859" t="s">
        <v>626</v>
      </c>
      <c r="I859" s="74">
        <f t="shared" si="13"/>
        <v>0</v>
      </c>
    </row>
    <row r="860" spans="1:9" ht="15" customHeight="1" x14ac:dyDescent="0.25">
      <c r="A860" s="57">
        <v>45749</v>
      </c>
      <c r="B860" t="s">
        <v>181</v>
      </c>
      <c r="C860" t="s">
        <v>157</v>
      </c>
      <c r="D860" t="s">
        <v>90</v>
      </c>
      <c r="F860" s="24">
        <v>30000</v>
      </c>
      <c r="G860" s="24"/>
      <c r="H860" t="s">
        <v>627</v>
      </c>
      <c r="I860" s="74">
        <f t="shared" si="13"/>
        <v>0</v>
      </c>
    </row>
    <row r="861" spans="1:9" ht="15" customHeight="1" x14ac:dyDescent="0.25">
      <c r="A861" s="57">
        <v>45749</v>
      </c>
      <c r="B861" t="s">
        <v>181</v>
      </c>
      <c r="C861" t="s">
        <v>60</v>
      </c>
      <c r="D861" t="s">
        <v>63</v>
      </c>
      <c r="F861" s="24"/>
      <c r="G861" s="24">
        <v>30000</v>
      </c>
      <c r="H861" t="s">
        <v>627</v>
      </c>
      <c r="I861" s="74">
        <f t="shared" si="13"/>
        <v>0</v>
      </c>
    </row>
    <row r="862" spans="1:9" ht="15" customHeight="1" x14ac:dyDescent="0.25">
      <c r="A862" s="57">
        <v>45750</v>
      </c>
      <c r="B862" t="s">
        <v>184</v>
      </c>
      <c r="C862" t="s">
        <v>157</v>
      </c>
      <c r="D862" t="s">
        <v>92</v>
      </c>
      <c r="F862" s="24">
        <v>23500</v>
      </c>
      <c r="G862" s="24"/>
      <c r="H862" t="s">
        <v>628</v>
      </c>
      <c r="I862" s="74">
        <f t="shared" si="13"/>
        <v>0</v>
      </c>
    </row>
    <row r="863" spans="1:9" ht="15" customHeight="1" x14ac:dyDescent="0.25">
      <c r="A863" s="57">
        <v>45750</v>
      </c>
      <c r="B863" t="s">
        <v>184</v>
      </c>
      <c r="C863" t="s">
        <v>158</v>
      </c>
      <c r="D863" t="s">
        <v>89</v>
      </c>
      <c r="F863" s="24"/>
      <c r="G863" s="24">
        <v>23500</v>
      </c>
      <c r="H863" t="s">
        <v>628</v>
      </c>
      <c r="I863" s="74">
        <f t="shared" si="13"/>
        <v>0</v>
      </c>
    </row>
    <row r="864" spans="1:9" ht="15" customHeight="1" x14ac:dyDescent="0.25">
      <c r="A864" s="57">
        <v>45751</v>
      </c>
      <c r="B864" t="s">
        <v>122</v>
      </c>
      <c r="C864" t="s">
        <v>158</v>
      </c>
      <c r="D864" t="s">
        <v>89</v>
      </c>
      <c r="F864" s="24">
        <v>0</v>
      </c>
      <c r="G864" s="24"/>
      <c r="H864" t="s">
        <v>629</v>
      </c>
      <c r="I864" s="74">
        <f t="shared" si="13"/>
        <v>0</v>
      </c>
    </row>
    <row r="865" spans="1:9" ht="15" customHeight="1" x14ac:dyDescent="0.25">
      <c r="A865" s="57">
        <v>45751</v>
      </c>
      <c r="B865" t="s">
        <v>122</v>
      </c>
      <c r="C865" t="s">
        <v>157</v>
      </c>
      <c r="D865" t="s">
        <v>88</v>
      </c>
      <c r="E865" t="s">
        <v>188</v>
      </c>
      <c r="F865" s="24"/>
      <c r="G865" s="24">
        <v>0</v>
      </c>
      <c r="H865" t="s">
        <v>629</v>
      </c>
      <c r="I865" s="74">
        <f t="shared" si="13"/>
        <v>0</v>
      </c>
    </row>
    <row r="866" spans="1:9" ht="15" customHeight="1" x14ac:dyDescent="0.25">
      <c r="A866" s="57">
        <v>45752</v>
      </c>
      <c r="B866" t="s">
        <v>115</v>
      </c>
      <c r="C866" t="s">
        <v>157</v>
      </c>
      <c r="D866" t="s">
        <v>88</v>
      </c>
      <c r="E866" t="s">
        <v>190</v>
      </c>
      <c r="F866" s="24">
        <v>12000</v>
      </c>
      <c r="G866" s="24"/>
      <c r="H866" t="s">
        <v>630</v>
      </c>
      <c r="I866" s="74">
        <f t="shared" si="13"/>
        <v>0</v>
      </c>
    </row>
    <row r="867" spans="1:9" ht="15" customHeight="1" x14ac:dyDescent="0.25">
      <c r="A867" s="57">
        <v>45752</v>
      </c>
      <c r="B867" t="s">
        <v>115</v>
      </c>
      <c r="C867" t="s">
        <v>60</v>
      </c>
      <c r="D867" t="s">
        <v>63</v>
      </c>
      <c r="F867" s="24"/>
      <c r="G867" s="24">
        <v>12000</v>
      </c>
      <c r="H867" t="s">
        <v>630</v>
      </c>
      <c r="I867" s="74">
        <f t="shared" si="13"/>
        <v>0</v>
      </c>
    </row>
    <row r="868" spans="1:9" ht="15" customHeight="1" x14ac:dyDescent="0.25">
      <c r="A868" s="57">
        <v>45753</v>
      </c>
      <c r="B868" t="s">
        <v>113</v>
      </c>
      <c r="C868" t="s">
        <v>157</v>
      </c>
      <c r="D868" t="s">
        <v>88</v>
      </c>
      <c r="E868" t="s">
        <v>190</v>
      </c>
      <c r="F868" s="24">
        <v>5500</v>
      </c>
      <c r="G868" s="24"/>
      <c r="H868" t="s">
        <v>631</v>
      </c>
      <c r="I868" s="74">
        <f t="shared" si="13"/>
        <v>0</v>
      </c>
    </row>
    <row r="869" spans="1:9" ht="15" customHeight="1" x14ac:dyDescent="0.25">
      <c r="A869" s="57">
        <v>45753</v>
      </c>
      <c r="B869" t="s">
        <v>113</v>
      </c>
      <c r="C869" t="s">
        <v>60</v>
      </c>
      <c r="D869" t="s">
        <v>61</v>
      </c>
      <c r="F869" s="24"/>
      <c r="G869" s="24">
        <v>5500</v>
      </c>
      <c r="H869" t="s">
        <v>631</v>
      </c>
      <c r="I869" s="74">
        <f t="shared" si="13"/>
        <v>0</v>
      </c>
    </row>
    <row r="870" spans="1:9" ht="15" customHeight="1" x14ac:dyDescent="0.25">
      <c r="A870" s="57">
        <v>45754</v>
      </c>
      <c r="B870" t="s">
        <v>194</v>
      </c>
      <c r="C870" t="s">
        <v>157</v>
      </c>
      <c r="D870" t="s">
        <v>90</v>
      </c>
      <c r="F870" s="24">
        <v>11000</v>
      </c>
      <c r="G870" s="24"/>
      <c r="H870" t="s">
        <v>632</v>
      </c>
      <c r="I870" s="74">
        <f t="shared" si="13"/>
        <v>0</v>
      </c>
    </row>
    <row r="871" spans="1:9" ht="15" customHeight="1" x14ac:dyDescent="0.25">
      <c r="A871" s="57">
        <v>45754</v>
      </c>
      <c r="B871" t="s">
        <v>194</v>
      </c>
      <c r="C871" t="s">
        <v>60</v>
      </c>
      <c r="D871" t="s">
        <v>64</v>
      </c>
      <c r="F871" s="24"/>
      <c r="G871" s="24">
        <v>11000</v>
      </c>
      <c r="H871" t="s">
        <v>632</v>
      </c>
      <c r="I871" s="74">
        <f t="shared" si="13"/>
        <v>0</v>
      </c>
    </row>
    <row r="872" spans="1:9" ht="15" customHeight="1" x14ac:dyDescent="0.25">
      <c r="A872" s="57">
        <v>45755</v>
      </c>
      <c r="B872" t="s">
        <v>114</v>
      </c>
      <c r="C872" t="s">
        <v>157</v>
      </c>
      <c r="D872" t="s">
        <v>88</v>
      </c>
      <c r="E872" t="s">
        <v>190</v>
      </c>
      <c r="F872" s="24">
        <v>23000</v>
      </c>
      <c r="G872" s="24"/>
      <c r="H872" t="s">
        <v>633</v>
      </c>
      <c r="I872" s="74">
        <f t="shared" si="13"/>
        <v>0</v>
      </c>
    </row>
    <row r="873" spans="1:9" ht="15" customHeight="1" x14ac:dyDescent="0.25">
      <c r="A873" s="57">
        <v>45755</v>
      </c>
      <c r="B873" t="s">
        <v>114</v>
      </c>
      <c r="C873" t="s">
        <v>157</v>
      </c>
      <c r="D873" t="s">
        <v>90</v>
      </c>
      <c r="F873" s="24"/>
      <c r="G873" s="24">
        <v>23000</v>
      </c>
      <c r="H873" t="s">
        <v>633</v>
      </c>
      <c r="I873" s="74">
        <f t="shared" si="13"/>
        <v>0</v>
      </c>
    </row>
    <row r="874" spans="1:9" ht="15" customHeight="1" x14ac:dyDescent="0.25">
      <c r="A874" s="57">
        <v>45756</v>
      </c>
      <c r="B874" t="s">
        <v>118</v>
      </c>
      <c r="C874" t="s">
        <v>160</v>
      </c>
      <c r="D874" t="s">
        <v>77</v>
      </c>
      <c r="F874" s="24">
        <v>4500</v>
      </c>
      <c r="G874" s="24"/>
      <c r="H874" t="s">
        <v>634</v>
      </c>
      <c r="I874" s="74">
        <f t="shared" si="13"/>
        <v>0</v>
      </c>
    </row>
    <row r="875" spans="1:9" ht="15" customHeight="1" x14ac:dyDescent="0.25">
      <c r="A875" s="57">
        <v>45756</v>
      </c>
      <c r="B875" t="s">
        <v>118</v>
      </c>
      <c r="C875" t="s">
        <v>157</v>
      </c>
      <c r="D875" t="s">
        <v>88</v>
      </c>
      <c r="E875" t="s">
        <v>188</v>
      </c>
      <c r="F875" s="24"/>
      <c r="G875" s="24">
        <v>4500</v>
      </c>
      <c r="H875" t="s">
        <v>634</v>
      </c>
      <c r="I875" s="74">
        <f t="shared" si="13"/>
        <v>0</v>
      </c>
    </row>
    <row r="876" spans="1:9" ht="15" customHeight="1" x14ac:dyDescent="0.25">
      <c r="A876" s="57">
        <v>45757</v>
      </c>
      <c r="B876" t="s">
        <v>119</v>
      </c>
      <c r="C876" t="s">
        <v>160</v>
      </c>
      <c r="D876" t="s">
        <v>72</v>
      </c>
      <c r="F876" s="24">
        <v>4500</v>
      </c>
      <c r="G876" s="24"/>
      <c r="H876" t="s">
        <v>635</v>
      </c>
      <c r="I876" s="74">
        <f t="shared" si="13"/>
        <v>0</v>
      </c>
    </row>
    <row r="877" spans="1:9" ht="15" customHeight="1" x14ac:dyDescent="0.25">
      <c r="A877" s="57">
        <v>45757</v>
      </c>
      <c r="B877" t="s">
        <v>119</v>
      </c>
      <c r="C877" t="s">
        <v>157</v>
      </c>
      <c r="D877" t="s">
        <v>88</v>
      </c>
      <c r="E877" t="s">
        <v>188</v>
      </c>
      <c r="F877" s="24"/>
      <c r="G877" s="24">
        <v>4500</v>
      </c>
      <c r="H877" t="s">
        <v>635</v>
      </c>
      <c r="I877" s="74">
        <f t="shared" si="13"/>
        <v>0</v>
      </c>
    </row>
    <row r="878" spans="1:9" ht="15" customHeight="1" x14ac:dyDescent="0.25">
      <c r="A878" s="57">
        <v>45758</v>
      </c>
      <c r="B878" t="s">
        <v>120</v>
      </c>
      <c r="C878" t="s">
        <v>160</v>
      </c>
      <c r="D878" t="s">
        <v>81</v>
      </c>
      <c r="F878" s="24">
        <v>2000</v>
      </c>
      <c r="G878" s="24"/>
      <c r="H878" t="s">
        <v>636</v>
      </c>
      <c r="I878" s="74">
        <f t="shared" si="13"/>
        <v>0</v>
      </c>
    </row>
    <row r="879" spans="1:9" ht="15" customHeight="1" x14ac:dyDescent="0.25">
      <c r="A879" s="57">
        <v>45758</v>
      </c>
      <c r="B879" t="s">
        <v>120</v>
      </c>
      <c r="C879" t="s">
        <v>157</v>
      </c>
      <c r="D879" t="s">
        <v>88</v>
      </c>
      <c r="E879" t="s">
        <v>188</v>
      </c>
      <c r="F879" s="24"/>
      <c r="G879" s="24">
        <v>2000</v>
      </c>
      <c r="H879" t="s">
        <v>636</v>
      </c>
      <c r="I879" s="74">
        <f t="shared" si="13"/>
        <v>0</v>
      </c>
    </row>
    <row r="880" spans="1:9" ht="15" customHeight="1" x14ac:dyDescent="0.25">
      <c r="A880" s="57">
        <v>45759</v>
      </c>
      <c r="B880" t="s">
        <v>121</v>
      </c>
      <c r="C880" t="s">
        <v>160</v>
      </c>
      <c r="D880" t="s">
        <v>71</v>
      </c>
      <c r="F880" s="24">
        <v>1000</v>
      </c>
      <c r="G880" s="24"/>
      <c r="H880" t="s">
        <v>637</v>
      </c>
      <c r="I880" s="74">
        <f t="shared" si="13"/>
        <v>0</v>
      </c>
    </row>
    <row r="881" spans="1:9" ht="15" customHeight="1" x14ac:dyDescent="0.25">
      <c r="A881" s="57">
        <v>45759</v>
      </c>
      <c r="B881" t="s">
        <v>121</v>
      </c>
      <c r="C881" t="s">
        <v>157</v>
      </c>
      <c r="D881" t="s">
        <v>88</v>
      </c>
      <c r="E881" t="s">
        <v>188</v>
      </c>
      <c r="F881" s="24"/>
      <c r="G881" s="24">
        <v>1000</v>
      </c>
      <c r="H881" t="s">
        <v>637</v>
      </c>
      <c r="I881" s="74">
        <f t="shared" si="13"/>
        <v>0</v>
      </c>
    </row>
    <row r="882" spans="1:9" ht="15" customHeight="1" x14ac:dyDescent="0.25">
      <c r="A882" s="57">
        <v>45760</v>
      </c>
      <c r="B882" t="s">
        <v>127</v>
      </c>
      <c r="C882" t="s">
        <v>160</v>
      </c>
      <c r="D882" t="s">
        <v>78</v>
      </c>
      <c r="F882" s="24">
        <v>500</v>
      </c>
      <c r="G882" s="24"/>
      <c r="H882" t="s">
        <v>638</v>
      </c>
      <c r="I882" s="74">
        <f t="shared" si="13"/>
        <v>0</v>
      </c>
    </row>
    <row r="883" spans="1:9" ht="15" customHeight="1" x14ac:dyDescent="0.25">
      <c r="A883" s="57">
        <v>45760</v>
      </c>
      <c r="B883" t="s">
        <v>127</v>
      </c>
      <c r="C883" t="s">
        <v>157</v>
      </c>
      <c r="D883" t="s">
        <v>88</v>
      </c>
      <c r="E883" t="s">
        <v>188</v>
      </c>
      <c r="F883" s="24"/>
      <c r="G883" s="24">
        <v>500</v>
      </c>
      <c r="H883" t="s">
        <v>638</v>
      </c>
      <c r="I883" s="74">
        <f t="shared" si="13"/>
        <v>0</v>
      </c>
    </row>
    <row r="884" spans="1:9" ht="15" customHeight="1" x14ac:dyDescent="0.25">
      <c r="A884" s="57">
        <v>45761</v>
      </c>
      <c r="B884" t="s">
        <v>128</v>
      </c>
      <c r="C884" t="s">
        <v>160</v>
      </c>
      <c r="D884" t="s">
        <v>75</v>
      </c>
      <c r="F884" s="24">
        <v>1000</v>
      </c>
      <c r="G884" s="24"/>
      <c r="H884" t="s">
        <v>639</v>
      </c>
      <c r="I884" s="74">
        <f t="shared" si="13"/>
        <v>0</v>
      </c>
    </row>
    <row r="885" spans="1:9" ht="15" customHeight="1" x14ac:dyDescent="0.25">
      <c r="A885" s="57">
        <v>45761</v>
      </c>
      <c r="B885" t="s">
        <v>128</v>
      </c>
      <c r="C885" t="s">
        <v>157</v>
      </c>
      <c r="D885" t="s">
        <v>88</v>
      </c>
      <c r="E885" t="s">
        <v>188</v>
      </c>
      <c r="F885" s="24"/>
      <c r="G885" s="24">
        <v>1000</v>
      </c>
      <c r="H885" t="s">
        <v>639</v>
      </c>
      <c r="I885" s="74">
        <f t="shared" si="13"/>
        <v>0</v>
      </c>
    </row>
    <row r="886" spans="1:9" ht="15" customHeight="1" x14ac:dyDescent="0.25">
      <c r="A886" s="57">
        <v>45773</v>
      </c>
      <c r="B886" t="s">
        <v>204</v>
      </c>
      <c r="C886" t="s">
        <v>160</v>
      </c>
      <c r="D886" t="s">
        <v>67</v>
      </c>
      <c r="F886" s="24">
        <v>17500</v>
      </c>
      <c r="G886" s="24"/>
      <c r="H886" t="s">
        <v>640</v>
      </c>
      <c r="I886" s="74">
        <f t="shared" si="13"/>
        <v>0</v>
      </c>
    </row>
    <row r="887" spans="1:9" ht="15" customHeight="1" x14ac:dyDescent="0.25">
      <c r="A887" s="57">
        <v>45773</v>
      </c>
      <c r="B887" t="s">
        <v>204</v>
      </c>
      <c r="C887" t="s">
        <v>157</v>
      </c>
      <c r="D887" t="s">
        <v>92</v>
      </c>
      <c r="F887" s="24"/>
      <c r="G887" s="24">
        <v>17500</v>
      </c>
      <c r="H887" t="s">
        <v>640</v>
      </c>
      <c r="I887" s="74">
        <f t="shared" si="13"/>
        <v>0</v>
      </c>
    </row>
    <row r="888" spans="1:9" ht="15" customHeight="1" x14ac:dyDescent="0.25">
      <c r="A888" s="57">
        <v>45774</v>
      </c>
      <c r="B888" t="s">
        <v>207</v>
      </c>
      <c r="C888" t="s">
        <v>160</v>
      </c>
      <c r="D888" t="s">
        <v>73</v>
      </c>
      <c r="F888" s="24">
        <v>1200</v>
      </c>
      <c r="G888" s="24"/>
      <c r="H888" t="s">
        <v>641</v>
      </c>
      <c r="I888" s="74">
        <f t="shared" si="13"/>
        <v>0</v>
      </c>
    </row>
    <row r="889" spans="1:9" ht="15" customHeight="1" x14ac:dyDescent="0.25">
      <c r="A889" s="57">
        <v>45774</v>
      </c>
      <c r="B889" t="s">
        <v>207</v>
      </c>
      <c r="C889" t="s">
        <v>157</v>
      </c>
      <c r="D889" t="s">
        <v>100</v>
      </c>
      <c r="F889" s="24"/>
      <c r="G889" s="24">
        <v>1200</v>
      </c>
      <c r="H889" t="s">
        <v>641</v>
      </c>
      <c r="I889" s="74">
        <f t="shared" si="13"/>
        <v>0</v>
      </c>
    </row>
    <row r="890" spans="1:9" ht="15" customHeight="1" x14ac:dyDescent="0.25">
      <c r="A890" s="57">
        <v>45779</v>
      </c>
      <c r="B890" t="s">
        <v>181</v>
      </c>
      <c r="C890" t="s">
        <v>157</v>
      </c>
      <c r="D890" t="s">
        <v>90</v>
      </c>
      <c r="F890" s="24">
        <v>23000</v>
      </c>
      <c r="G890" s="24"/>
      <c r="H890" t="s">
        <v>642</v>
      </c>
      <c r="I890" s="74">
        <f t="shared" si="13"/>
        <v>0</v>
      </c>
    </row>
    <row r="891" spans="1:9" ht="15" customHeight="1" x14ac:dyDescent="0.25">
      <c r="A891" s="57">
        <v>45779</v>
      </c>
      <c r="B891" t="s">
        <v>181</v>
      </c>
      <c r="C891" t="s">
        <v>60</v>
      </c>
      <c r="D891" t="s">
        <v>63</v>
      </c>
      <c r="F891" s="24"/>
      <c r="G891" s="24">
        <v>23000</v>
      </c>
      <c r="H891" t="s">
        <v>642</v>
      </c>
      <c r="I891" s="74">
        <f t="shared" si="13"/>
        <v>0</v>
      </c>
    </row>
    <row r="892" spans="1:9" ht="15" customHeight="1" x14ac:dyDescent="0.25">
      <c r="A892" s="57">
        <v>45780</v>
      </c>
      <c r="B892" t="s">
        <v>184</v>
      </c>
      <c r="C892" t="s">
        <v>157</v>
      </c>
      <c r="D892" t="s">
        <v>92</v>
      </c>
      <c r="F892" s="24">
        <v>20000</v>
      </c>
      <c r="G892" s="24"/>
      <c r="H892" t="s">
        <v>643</v>
      </c>
      <c r="I892" s="74">
        <f t="shared" si="13"/>
        <v>0</v>
      </c>
    </row>
    <row r="893" spans="1:9" ht="15" customHeight="1" x14ac:dyDescent="0.25">
      <c r="A893" s="57">
        <v>45780</v>
      </c>
      <c r="B893" t="s">
        <v>184</v>
      </c>
      <c r="C893" t="s">
        <v>158</v>
      </c>
      <c r="D893" t="s">
        <v>89</v>
      </c>
      <c r="F893" s="24"/>
      <c r="G893" s="24">
        <v>20000</v>
      </c>
      <c r="H893" t="s">
        <v>643</v>
      </c>
      <c r="I893" s="74">
        <f t="shared" si="13"/>
        <v>0</v>
      </c>
    </row>
    <row r="894" spans="1:9" ht="15" customHeight="1" x14ac:dyDescent="0.25">
      <c r="A894" s="57">
        <v>45781</v>
      </c>
      <c r="B894" t="s">
        <v>122</v>
      </c>
      <c r="C894" t="s">
        <v>158</v>
      </c>
      <c r="D894" t="s">
        <v>89</v>
      </c>
      <c r="F894" s="24">
        <v>0</v>
      </c>
      <c r="G894" s="24"/>
      <c r="H894" t="s">
        <v>644</v>
      </c>
      <c r="I894" s="74">
        <f t="shared" si="13"/>
        <v>0</v>
      </c>
    </row>
    <row r="895" spans="1:9" ht="15" customHeight="1" x14ac:dyDescent="0.25">
      <c r="A895" s="57">
        <v>45781</v>
      </c>
      <c r="B895" t="s">
        <v>122</v>
      </c>
      <c r="C895" t="s">
        <v>157</v>
      </c>
      <c r="D895" t="s">
        <v>88</v>
      </c>
      <c r="E895" t="s">
        <v>188</v>
      </c>
      <c r="F895" s="24"/>
      <c r="G895" s="24">
        <v>0</v>
      </c>
      <c r="H895" t="s">
        <v>644</v>
      </c>
      <c r="I895" s="74">
        <f t="shared" si="13"/>
        <v>0</v>
      </c>
    </row>
    <row r="896" spans="1:9" ht="15" customHeight="1" x14ac:dyDescent="0.25">
      <c r="A896" s="57">
        <v>45782</v>
      </c>
      <c r="B896" t="s">
        <v>115</v>
      </c>
      <c r="C896" t="s">
        <v>157</v>
      </c>
      <c r="D896" t="s">
        <v>88</v>
      </c>
      <c r="E896" t="s">
        <v>190</v>
      </c>
      <c r="F896" s="24">
        <v>15000</v>
      </c>
      <c r="G896" s="24"/>
      <c r="H896" t="s">
        <v>645</v>
      </c>
      <c r="I896" s="74">
        <f t="shared" si="13"/>
        <v>0</v>
      </c>
    </row>
    <row r="897" spans="1:9" ht="15" customHeight="1" x14ac:dyDescent="0.25">
      <c r="A897" s="57">
        <v>45782</v>
      </c>
      <c r="B897" t="s">
        <v>115</v>
      </c>
      <c r="C897" t="s">
        <v>60</v>
      </c>
      <c r="D897" t="s">
        <v>63</v>
      </c>
      <c r="F897" s="24"/>
      <c r="G897" s="24">
        <v>15000</v>
      </c>
      <c r="H897" t="s">
        <v>645</v>
      </c>
      <c r="I897" s="74">
        <f t="shared" si="13"/>
        <v>0</v>
      </c>
    </row>
    <row r="898" spans="1:9" ht="15" customHeight="1" x14ac:dyDescent="0.25">
      <c r="A898" s="57">
        <v>45783</v>
      </c>
      <c r="B898" t="s">
        <v>113</v>
      </c>
      <c r="C898" t="s">
        <v>157</v>
      </c>
      <c r="D898" t="s">
        <v>88</v>
      </c>
      <c r="E898" t="s">
        <v>190</v>
      </c>
      <c r="F898" s="24">
        <v>5500</v>
      </c>
      <c r="G898" s="24"/>
      <c r="H898" t="s">
        <v>646</v>
      </c>
      <c r="I898" s="74">
        <f t="shared" ref="I898:I961" si="14">SUMIF($H:$H,H898,$F:$F)-SUMIF($H:$H,H898,$G:$G)</f>
        <v>0</v>
      </c>
    </row>
    <row r="899" spans="1:9" ht="15" customHeight="1" x14ac:dyDescent="0.25">
      <c r="A899" s="57">
        <v>45783</v>
      </c>
      <c r="B899" t="s">
        <v>113</v>
      </c>
      <c r="C899" t="s">
        <v>60</v>
      </c>
      <c r="D899" t="s">
        <v>61</v>
      </c>
      <c r="F899" s="24"/>
      <c r="G899" s="24">
        <v>5500</v>
      </c>
      <c r="H899" t="s">
        <v>646</v>
      </c>
      <c r="I899" s="74">
        <f t="shared" si="14"/>
        <v>0</v>
      </c>
    </row>
    <row r="900" spans="1:9" ht="15" customHeight="1" x14ac:dyDescent="0.25">
      <c r="A900" s="57">
        <v>45784</v>
      </c>
      <c r="B900" t="s">
        <v>194</v>
      </c>
      <c r="C900" t="s">
        <v>157</v>
      </c>
      <c r="D900" t="s">
        <v>90</v>
      </c>
      <c r="F900" s="24">
        <v>11000</v>
      </c>
      <c r="G900" s="24"/>
      <c r="H900" t="s">
        <v>647</v>
      </c>
      <c r="I900" s="74">
        <f t="shared" si="14"/>
        <v>0</v>
      </c>
    </row>
    <row r="901" spans="1:9" ht="15" customHeight="1" x14ac:dyDescent="0.25">
      <c r="A901" s="57">
        <v>45784</v>
      </c>
      <c r="B901" t="s">
        <v>194</v>
      </c>
      <c r="C901" t="s">
        <v>60</v>
      </c>
      <c r="D901" t="s">
        <v>64</v>
      </c>
      <c r="F901" s="24"/>
      <c r="G901" s="24">
        <v>11000</v>
      </c>
      <c r="H901" t="s">
        <v>647</v>
      </c>
      <c r="I901" s="74">
        <f t="shared" si="14"/>
        <v>0</v>
      </c>
    </row>
    <row r="902" spans="1:9" ht="15" customHeight="1" x14ac:dyDescent="0.25">
      <c r="A902" s="57">
        <v>45785</v>
      </c>
      <c r="B902" t="s">
        <v>114</v>
      </c>
      <c r="C902" t="s">
        <v>157</v>
      </c>
      <c r="D902" t="s">
        <v>88</v>
      </c>
      <c r="E902" t="s">
        <v>190</v>
      </c>
      <c r="F902" s="24">
        <v>28000</v>
      </c>
      <c r="G902" s="24"/>
      <c r="H902" t="s">
        <v>648</v>
      </c>
      <c r="I902" s="74">
        <f t="shared" si="14"/>
        <v>0</v>
      </c>
    </row>
    <row r="903" spans="1:9" ht="15" customHeight="1" x14ac:dyDescent="0.25">
      <c r="A903" s="57">
        <v>45785</v>
      </c>
      <c r="B903" t="s">
        <v>114</v>
      </c>
      <c r="C903" t="s">
        <v>157</v>
      </c>
      <c r="D903" t="s">
        <v>90</v>
      </c>
      <c r="F903" s="24"/>
      <c r="G903" s="24">
        <v>28000</v>
      </c>
      <c r="H903" t="s">
        <v>648</v>
      </c>
      <c r="I903" s="74">
        <f t="shared" si="14"/>
        <v>0</v>
      </c>
    </row>
    <row r="904" spans="1:9" ht="15" customHeight="1" x14ac:dyDescent="0.25">
      <c r="A904" s="57">
        <v>45786</v>
      </c>
      <c r="B904" t="s">
        <v>118</v>
      </c>
      <c r="C904" t="s">
        <v>160</v>
      </c>
      <c r="D904" t="s">
        <v>77</v>
      </c>
      <c r="F904" s="24">
        <v>5500</v>
      </c>
      <c r="G904" s="24"/>
      <c r="H904" t="s">
        <v>649</v>
      </c>
      <c r="I904" s="74">
        <f t="shared" si="14"/>
        <v>0</v>
      </c>
    </row>
    <row r="905" spans="1:9" ht="15" customHeight="1" x14ac:dyDescent="0.25">
      <c r="A905" s="57">
        <v>45786</v>
      </c>
      <c r="B905" t="s">
        <v>118</v>
      </c>
      <c r="C905" t="s">
        <v>157</v>
      </c>
      <c r="D905" t="s">
        <v>88</v>
      </c>
      <c r="E905" t="s">
        <v>188</v>
      </c>
      <c r="F905" s="24"/>
      <c r="G905" s="24">
        <v>5500</v>
      </c>
      <c r="H905" t="s">
        <v>649</v>
      </c>
      <c r="I905" s="74">
        <f t="shared" si="14"/>
        <v>0</v>
      </c>
    </row>
    <row r="906" spans="1:9" ht="15" customHeight="1" x14ac:dyDescent="0.25">
      <c r="A906" s="57">
        <v>45787</v>
      </c>
      <c r="B906" t="s">
        <v>119</v>
      </c>
      <c r="C906" t="s">
        <v>160</v>
      </c>
      <c r="D906" t="s">
        <v>72</v>
      </c>
      <c r="F906" s="24">
        <v>8000</v>
      </c>
      <c r="G906" s="24"/>
      <c r="H906" t="s">
        <v>650</v>
      </c>
      <c r="I906" s="74">
        <f t="shared" si="14"/>
        <v>0</v>
      </c>
    </row>
    <row r="907" spans="1:9" ht="15" customHeight="1" x14ac:dyDescent="0.25">
      <c r="A907" s="57">
        <v>45787</v>
      </c>
      <c r="B907" t="s">
        <v>119</v>
      </c>
      <c r="C907" t="s">
        <v>157</v>
      </c>
      <c r="D907" t="s">
        <v>88</v>
      </c>
      <c r="E907" t="s">
        <v>188</v>
      </c>
      <c r="F907" s="24"/>
      <c r="G907" s="24">
        <v>8000</v>
      </c>
      <c r="H907" t="s">
        <v>650</v>
      </c>
      <c r="I907" s="74">
        <f t="shared" si="14"/>
        <v>0</v>
      </c>
    </row>
    <row r="908" spans="1:9" ht="15" customHeight="1" x14ac:dyDescent="0.25">
      <c r="A908" s="57">
        <v>45788</v>
      </c>
      <c r="B908" t="s">
        <v>120</v>
      </c>
      <c r="C908" t="s">
        <v>160</v>
      </c>
      <c r="D908" t="s">
        <v>81</v>
      </c>
      <c r="F908" s="24">
        <v>2000</v>
      </c>
      <c r="G908" s="24"/>
      <c r="H908" t="s">
        <v>651</v>
      </c>
      <c r="I908" s="74">
        <f t="shared" si="14"/>
        <v>0</v>
      </c>
    </row>
    <row r="909" spans="1:9" ht="15" customHeight="1" x14ac:dyDescent="0.25">
      <c r="A909" s="57">
        <v>45788</v>
      </c>
      <c r="B909" t="s">
        <v>120</v>
      </c>
      <c r="C909" t="s">
        <v>157</v>
      </c>
      <c r="D909" t="s">
        <v>88</v>
      </c>
      <c r="E909" t="s">
        <v>188</v>
      </c>
      <c r="F909" s="24"/>
      <c r="G909" s="24">
        <v>2000</v>
      </c>
      <c r="H909" t="s">
        <v>651</v>
      </c>
      <c r="I909" s="74">
        <f t="shared" si="14"/>
        <v>0</v>
      </c>
    </row>
    <row r="910" spans="1:9" ht="15" customHeight="1" x14ac:dyDescent="0.25">
      <c r="A910" s="57">
        <v>45789</v>
      </c>
      <c r="B910" t="s">
        <v>121</v>
      </c>
      <c r="C910" t="s">
        <v>160</v>
      </c>
      <c r="D910" t="s">
        <v>71</v>
      </c>
      <c r="F910" s="24">
        <v>1000</v>
      </c>
      <c r="G910" s="24"/>
      <c r="H910" t="s">
        <v>652</v>
      </c>
      <c r="I910" s="74">
        <f t="shared" si="14"/>
        <v>0</v>
      </c>
    </row>
    <row r="911" spans="1:9" ht="15" customHeight="1" x14ac:dyDescent="0.25">
      <c r="A911" s="57">
        <v>45789</v>
      </c>
      <c r="B911" t="s">
        <v>121</v>
      </c>
      <c r="C911" t="s">
        <v>157</v>
      </c>
      <c r="D911" t="s">
        <v>88</v>
      </c>
      <c r="E911" t="s">
        <v>188</v>
      </c>
      <c r="F911" s="24"/>
      <c r="G911" s="24">
        <v>1000</v>
      </c>
      <c r="H911" t="s">
        <v>652</v>
      </c>
      <c r="I911" s="74">
        <f t="shared" si="14"/>
        <v>0</v>
      </c>
    </row>
    <row r="912" spans="1:9" ht="15" customHeight="1" x14ac:dyDescent="0.25">
      <c r="A912" s="57">
        <v>45790</v>
      </c>
      <c r="B912" t="s">
        <v>123</v>
      </c>
      <c r="C912" t="s">
        <v>160</v>
      </c>
      <c r="D912" t="s">
        <v>80</v>
      </c>
      <c r="F912" s="24">
        <v>500</v>
      </c>
      <c r="G912" s="24"/>
      <c r="H912" t="s">
        <v>653</v>
      </c>
      <c r="I912" s="74">
        <f t="shared" si="14"/>
        <v>0</v>
      </c>
    </row>
    <row r="913" spans="1:9" ht="15" customHeight="1" x14ac:dyDescent="0.25">
      <c r="A913" s="57">
        <v>45790</v>
      </c>
      <c r="B913" t="s">
        <v>123</v>
      </c>
      <c r="C913" t="s">
        <v>157</v>
      </c>
      <c r="D913" t="s">
        <v>88</v>
      </c>
      <c r="E913" t="s">
        <v>188</v>
      </c>
      <c r="F913" s="24"/>
      <c r="G913" s="24">
        <v>500</v>
      </c>
      <c r="H913" t="s">
        <v>653</v>
      </c>
      <c r="I913" s="74">
        <f t="shared" si="14"/>
        <v>0</v>
      </c>
    </row>
    <row r="914" spans="1:9" ht="15" customHeight="1" x14ac:dyDescent="0.25">
      <c r="A914" s="57">
        <v>45791</v>
      </c>
      <c r="B914" t="s">
        <v>128</v>
      </c>
      <c r="C914" t="s">
        <v>160</v>
      </c>
      <c r="D914" t="s">
        <v>75</v>
      </c>
      <c r="F914" s="24">
        <v>500</v>
      </c>
      <c r="G914" s="24"/>
      <c r="H914" t="s">
        <v>654</v>
      </c>
      <c r="I914" s="74">
        <f t="shared" si="14"/>
        <v>0</v>
      </c>
    </row>
    <row r="915" spans="1:9" ht="15" customHeight="1" x14ac:dyDescent="0.25">
      <c r="A915" s="57">
        <v>45791</v>
      </c>
      <c r="B915" t="s">
        <v>128</v>
      </c>
      <c r="C915" t="s">
        <v>157</v>
      </c>
      <c r="D915" t="s">
        <v>88</v>
      </c>
      <c r="E915" t="s">
        <v>188</v>
      </c>
      <c r="F915" s="24"/>
      <c r="G915" s="24">
        <v>500</v>
      </c>
      <c r="H915" t="s">
        <v>654</v>
      </c>
      <c r="I915" s="74">
        <f t="shared" si="14"/>
        <v>0</v>
      </c>
    </row>
    <row r="916" spans="1:9" ht="15" customHeight="1" x14ac:dyDescent="0.25">
      <c r="A916" s="57">
        <v>45803</v>
      </c>
      <c r="B916" t="s">
        <v>204</v>
      </c>
      <c r="C916" t="s">
        <v>160</v>
      </c>
      <c r="D916" t="s">
        <v>67</v>
      </c>
      <c r="F916" s="24">
        <v>17000</v>
      </c>
      <c r="G916" s="24"/>
      <c r="H916" t="s">
        <v>655</v>
      </c>
      <c r="I916" s="74">
        <f t="shared" si="14"/>
        <v>0</v>
      </c>
    </row>
    <row r="917" spans="1:9" ht="15" customHeight="1" x14ac:dyDescent="0.25">
      <c r="A917" s="57">
        <v>45803</v>
      </c>
      <c r="B917" t="s">
        <v>204</v>
      </c>
      <c r="C917" t="s">
        <v>157</v>
      </c>
      <c r="D917" t="s">
        <v>92</v>
      </c>
      <c r="F917" s="24"/>
      <c r="G917" s="24">
        <v>17000</v>
      </c>
      <c r="H917" t="s">
        <v>655</v>
      </c>
      <c r="I917" s="74">
        <f t="shared" si="14"/>
        <v>0</v>
      </c>
    </row>
    <row r="918" spans="1:9" ht="15" customHeight="1" x14ac:dyDescent="0.25">
      <c r="A918" s="57">
        <v>45804</v>
      </c>
      <c r="B918" t="s">
        <v>207</v>
      </c>
      <c r="C918" t="s">
        <v>160</v>
      </c>
      <c r="D918" t="s">
        <v>73</v>
      </c>
      <c r="F918" s="24">
        <v>1200</v>
      </c>
      <c r="G918" s="24"/>
      <c r="H918" t="s">
        <v>656</v>
      </c>
      <c r="I918" s="74">
        <f t="shared" si="14"/>
        <v>0</v>
      </c>
    </row>
    <row r="919" spans="1:9" ht="15" customHeight="1" x14ac:dyDescent="0.25">
      <c r="A919" s="57">
        <v>45804</v>
      </c>
      <c r="B919" t="s">
        <v>207</v>
      </c>
      <c r="C919" t="s">
        <v>157</v>
      </c>
      <c r="D919" t="s">
        <v>100</v>
      </c>
      <c r="F919" s="24"/>
      <c r="G919" s="24">
        <v>1200</v>
      </c>
      <c r="H919" t="s">
        <v>656</v>
      </c>
      <c r="I919" s="74">
        <f t="shared" si="14"/>
        <v>0</v>
      </c>
    </row>
    <row r="920" spans="1:9" ht="15" customHeight="1" x14ac:dyDescent="0.25">
      <c r="A920" s="57">
        <v>45810</v>
      </c>
      <c r="B920" t="s">
        <v>181</v>
      </c>
      <c r="C920" t="s">
        <v>157</v>
      </c>
      <c r="D920" t="s">
        <v>90</v>
      </c>
      <c r="F920" s="24">
        <v>21000</v>
      </c>
      <c r="G920" s="24"/>
      <c r="H920" t="s">
        <v>657</v>
      </c>
      <c r="I920" s="74">
        <f t="shared" si="14"/>
        <v>0</v>
      </c>
    </row>
    <row r="921" spans="1:9" ht="15" customHeight="1" x14ac:dyDescent="0.25">
      <c r="A921" s="57">
        <v>45810</v>
      </c>
      <c r="B921" t="s">
        <v>181</v>
      </c>
      <c r="C921" t="s">
        <v>60</v>
      </c>
      <c r="D921" t="s">
        <v>63</v>
      </c>
      <c r="F921" s="24"/>
      <c r="G921" s="24">
        <v>21000</v>
      </c>
      <c r="H921" t="s">
        <v>657</v>
      </c>
      <c r="I921" s="74">
        <f t="shared" si="14"/>
        <v>0</v>
      </c>
    </row>
    <row r="922" spans="1:9" ht="15" customHeight="1" x14ac:dyDescent="0.25">
      <c r="A922" s="57">
        <v>45811</v>
      </c>
      <c r="B922" t="s">
        <v>184</v>
      </c>
      <c r="C922" t="s">
        <v>157</v>
      </c>
      <c r="D922" t="s">
        <v>92</v>
      </c>
      <c r="F922" s="24">
        <v>19500</v>
      </c>
      <c r="G922" s="24"/>
      <c r="H922" t="s">
        <v>658</v>
      </c>
      <c r="I922" s="74">
        <f t="shared" si="14"/>
        <v>0</v>
      </c>
    </row>
    <row r="923" spans="1:9" ht="15" customHeight="1" x14ac:dyDescent="0.25">
      <c r="A923" s="57">
        <v>45811</v>
      </c>
      <c r="B923" t="s">
        <v>184</v>
      </c>
      <c r="C923" t="s">
        <v>158</v>
      </c>
      <c r="D923" t="s">
        <v>89</v>
      </c>
      <c r="F923" s="24"/>
      <c r="G923" s="24">
        <v>19500</v>
      </c>
      <c r="H923" t="s">
        <v>658</v>
      </c>
      <c r="I923" s="74">
        <f t="shared" si="14"/>
        <v>0</v>
      </c>
    </row>
    <row r="924" spans="1:9" ht="15" customHeight="1" x14ac:dyDescent="0.25">
      <c r="A924" s="57">
        <v>45812</v>
      </c>
      <c r="B924" t="s">
        <v>122</v>
      </c>
      <c r="C924" t="s">
        <v>158</v>
      </c>
      <c r="D924" t="s">
        <v>89</v>
      </c>
      <c r="F924" s="24">
        <v>0</v>
      </c>
      <c r="G924" s="24"/>
      <c r="H924" t="s">
        <v>659</v>
      </c>
      <c r="I924" s="74">
        <f t="shared" si="14"/>
        <v>0</v>
      </c>
    </row>
    <row r="925" spans="1:9" ht="15" customHeight="1" x14ac:dyDescent="0.25">
      <c r="A925" s="57">
        <v>45812</v>
      </c>
      <c r="B925" t="s">
        <v>122</v>
      </c>
      <c r="C925" t="s">
        <v>157</v>
      </c>
      <c r="D925" t="s">
        <v>88</v>
      </c>
      <c r="E925" t="s">
        <v>188</v>
      </c>
      <c r="F925" s="24"/>
      <c r="G925" s="24">
        <v>0</v>
      </c>
      <c r="H925" t="s">
        <v>659</v>
      </c>
      <c r="I925" s="74">
        <f t="shared" si="14"/>
        <v>0</v>
      </c>
    </row>
    <row r="926" spans="1:9" ht="15" customHeight="1" x14ac:dyDescent="0.25">
      <c r="A926" s="57">
        <v>45813</v>
      </c>
      <c r="B926" t="s">
        <v>115</v>
      </c>
      <c r="C926" t="s">
        <v>157</v>
      </c>
      <c r="D926" t="s">
        <v>88</v>
      </c>
      <c r="E926" t="s">
        <v>190</v>
      </c>
      <c r="F926" s="24">
        <v>13000</v>
      </c>
      <c r="G926" s="24"/>
      <c r="H926" t="s">
        <v>660</v>
      </c>
      <c r="I926" s="74">
        <f t="shared" si="14"/>
        <v>0</v>
      </c>
    </row>
    <row r="927" spans="1:9" ht="15" customHeight="1" x14ac:dyDescent="0.25">
      <c r="A927" s="57">
        <v>45813</v>
      </c>
      <c r="B927" t="s">
        <v>115</v>
      </c>
      <c r="C927" t="s">
        <v>60</v>
      </c>
      <c r="D927" t="s">
        <v>63</v>
      </c>
      <c r="F927" s="24"/>
      <c r="G927" s="24">
        <v>13000</v>
      </c>
      <c r="H927" t="s">
        <v>660</v>
      </c>
      <c r="I927" s="74">
        <f t="shared" si="14"/>
        <v>0</v>
      </c>
    </row>
    <row r="928" spans="1:9" ht="15" customHeight="1" x14ac:dyDescent="0.25">
      <c r="A928" s="57">
        <v>45814</v>
      </c>
      <c r="B928" t="s">
        <v>113</v>
      </c>
      <c r="C928" t="s">
        <v>157</v>
      </c>
      <c r="D928" t="s">
        <v>88</v>
      </c>
      <c r="E928" t="s">
        <v>190</v>
      </c>
      <c r="F928" s="24">
        <v>7500</v>
      </c>
      <c r="G928" s="24"/>
      <c r="H928" t="s">
        <v>661</v>
      </c>
      <c r="I928" s="74">
        <f t="shared" si="14"/>
        <v>0</v>
      </c>
    </row>
    <row r="929" spans="1:9" ht="15" customHeight="1" x14ac:dyDescent="0.25">
      <c r="A929" s="57">
        <v>45814</v>
      </c>
      <c r="B929" t="s">
        <v>113</v>
      </c>
      <c r="C929" t="s">
        <v>60</v>
      </c>
      <c r="D929" t="s">
        <v>61</v>
      </c>
      <c r="F929" s="24"/>
      <c r="G929" s="24">
        <v>7500</v>
      </c>
      <c r="H929" t="s">
        <v>661</v>
      </c>
      <c r="I929" s="74">
        <f t="shared" si="14"/>
        <v>0</v>
      </c>
    </row>
    <row r="930" spans="1:9" ht="15" customHeight="1" x14ac:dyDescent="0.25">
      <c r="A930" s="57">
        <v>45815</v>
      </c>
      <c r="B930" t="s">
        <v>194</v>
      </c>
      <c r="C930" t="s">
        <v>157</v>
      </c>
      <c r="D930" t="s">
        <v>90</v>
      </c>
      <c r="F930" s="24">
        <v>5000</v>
      </c>
      <c r="G930" s="24"/>
      <c r="H930" t="s">
        <v>662</v>
      </c>
      <c r="I930" s="74">
        <f t="shared" si="14"/>
        <v>0</v>
      </c>
    </row>
    <row r="931" spans="1:9" ht="15" customHeight="1" x14ac:dyDescent="0.25">
      <c r="A931" s="57">
        <v>45815</v>
      </c>
      <c r="B931" t="s">
        <v>194</v>
      </c>
      <c r="C931" t="s">
        <v>60</v>
      </c>
      <c r="D931" t="s">
        <v>64</v>
      </c>
      <c r="F931" s="24"/>
      <c r="G931" s="24">
        <v>5000</v>
      </c>
      <c r="H931" t="s">
        <v>662</v>
      </c>
      <c r="I931" s="74">
        <f t="shared" si="14"/>
        <v>0</v>
      </c>
    </row>
    <row r="932" spans="1:9" ht="15" customHeight="1" x14ac:dyDescent="0.25">
      <c r="A932" s="57">
        <v>45816</v>
      </c>
      <c r="B932" t="s">
        <v>114</v>
      </c>
      <c r="C932" t="s">
        <v>157</v>
      </c>
      <c r="D932" t="s">
        <v>88</v>
      </c>
      <c r="E932" t="s">
        <v>190</v>
      </c>
      <c r="F932" s="24">
        <v>20000</v>
      </c>
      <c r="G932" s="24"/>
      <c r="H932" t="s">
        <v>663</v>
      </c>
      <c r="I932" s="74">
        <f t="shared" si="14"/>
        <v>0</v>
      </c>
    </row>
    <row r="933" spans="1:9" ht="15" customHeight="1" x14ac:dyDescent="0.25">
      <c r="A933" s="57">
        <v>45816</v>
      </c>
      <c r="B933" t="s">
        <v>114</v>
      </c>
      <c r="C933" t="s">
        <v>157</v>
      </c>
      <c r="D933" t="s">
        <v>90</v>
      </c>
      <c r="F933" s="24"/>
      <c r="G933" s="24">
        <v>20000</v>
      </c>
      <c r="H933" t="s">
        <v>663</v>
      </c>
      <c r="I933" s="74">
        <f t="shared" si="14"/>
        <v>0</v>
      </c>
    </row>
    <row r="934" spans="1:9" ht="15" customHeight="1" x14ac:dyDescent="0.25">
      <c r="A934" s="57">
        <v>45817</v>
      </c>
      <c r="B934" t="s">
        <v>118</v>
      </c>
      <c r="C934" t="s">
        <v>160</v>
      </c>
      <c r="D934" t="s">
        <v>77</v>
      </c>
      <c r="F934" s="24">
        <v>4500</v>
      </c>
      <c r="G934" s="24"/>
      <c r="H934" t="s">
        <v>664</v>
      </c>
      <c r="I934" s="74">
        <f t="shared" si="14"/>
        <v>0</v>
      </c>
    </row>
    <row r="935" spans="1:9" ht="15" customHeight="1" x14ac:dyDescent="0.25">
      <c r="A935" s="57">
        <v>45817</v>
      </c>
      <c r="B935" t="s">
        <v>118</v>
      </c>
      <c r="C935" t="s">
        <v>157</v>
      </c>
      <c r="D935" t="s">
        <v>88</v>
      </c>
      <c r="E935" t="s">
        <v>188</v>
      </c>
      <c r="F935" s="24"/>
      <c r="G935" s="24">
        <v>4500</v>
      </c>
      <c r="H935" t="s">
        <v>664</v>
      </c>
      <c r="I935" s="74">
        <f t="shared" si="14"/>
        <v>0</v>
      </c>
    </row>
    <row r="936" spans="1:9" ht="15" customHeight="1" x14ac:dyDescent="0.25">
      <c r="A936" s="57">
        <v>45818</v>
      </c>
      <c r="B936" t="s">
        <v>119</v>
      </c>
      <c r="C936" t="s">
        <v>160</v>
      </c>
      <c r="D936" t="s">
        <v>72</v>
      </c>
      <c r="F936" s="24">
        <v>4500</v>
      </c>
      <c r="G936" s="24"/>
      <c r="H936" t="s">
        <v>665</v>
      </c>
      <c r="I936" s="74">
        <f t="shared" si="14"/>
        <v>0</v>
      </c>
    </row>
    <row r="937" spans="1:9" ht="15" customHeight="1" x14ac:dyDescent="0.25">
      <c r="A937" s="57">
        <v>45818</v>
      </c>
      <c r="B937" t="s">
        <v>119</v>
      </c>
      <c r="C937" t="s">
        <v>157</v>
      </c>
      <c r="D937" t="s">
        <v>88</v>
      </c>
      <c r="E937" t="s">
        <v>188</v>
      </c>
      <c r="F937" s="24"/>
      <c r="G937" s="24">
        <v>4500</v>
      </c>
      <c r="H937" t="s">
        <v>665</v>
      </c>
      <c r="I937" s="74">
        <f t="shared" si="14"/>
        <v>0</v>
      </c>
    </row>
    <row r="938" spans="1:9" ht="15" customHeight="1" x14ac:dyDescent="0.25">
      <c r="A938" s="57">
        <v>45819</v>
      </c>
      <c r="B938" t="s">
        <v>120</v>
      </c>
      <c r="C938" t="s">
        <v>160</v>
      </c>
      <c r="D938" t="s">
        <v>81</v>
      </c>
      <c r="F938" s="24">
        <v>2000</v>
      </c>
      <c r="G938" s="24"/>
      <c r="H938" t="s">
        <v>666</v>
      </c>
      <c r="I938" s="74">
        <f t="shared" si="14"/>
        <v>0</v>
      </c>
    </row>
    <row r="939" spans="1:9" ht="15" customHeight="1" x14ac:dyDescent="0.25">
      <c r="A939" s="57">
        <v>45819</v>
      </c>
      <c r="B939" t="s">
        <v>120</v>
      </c>
      <c r="C939" t="s">
        <v>157</v>
      </c>
      <c r="D939" t="s">
        <v>88</v>
      </c>
      <c r="E939" t="s">
        <v>188</v>
      </c>
      <c r="F939" s="24"/>
      <c r="G939" s="24">
        <v>2000</v>
      </c>
      <c r="H939" t="s">
        <v>666</v>
      </c>
      <c r="I939" s="74">
        <f t="shared" si="14"/>
        <v>0</v>
      </c>
    </row>
    <row r="940" spans="1:9" ht="15" customHeight="1" x14ac:dyDescent="0.25">
      <c r="A940" s="57">
        <v>45820</v>
      </c>
      <c r="B940" t="s">
        <v>121</v>
      </c>
      <c r="C940" t="s">
        <v>160</v>
      </c>
      <c r="D940" t="s">
        <v>71</v>
      </c>
      <c r="F940" s="24">
        <v>500</v>
      </c>
      <c r="G940" s="24"/>
      <c r="H940" t="s">
        <v>667</v>
      </c>
      <c r="I940" s="74">
        <f t="shared" si="14"/>
        <v>0</v>
      </c>
    </row>
    <row r="941" spans="1:9" ht="15" customHeight="1" x14ac:dyDescent="0.25">
      <c r="A941" s="57">
        <v>45820</v>
      </c>
      <c r="B941" t="s">
        <v>121</v>
      </c>
      <c r="C941" t="s">
        <v>157</v>
      </c>
      <c r="D941" t="s">
        <v>88</v>
      </c>
      <c r="E941" t="s">
        <v>188</v>
      </c>
      <c r="F941" s="24"/>
      <c r="G941" s="24">
        <v>500</v>
      </c>
      <c r="H941" t="s">
        <v>667</v>
      </c>
      <c r="I941" s="74">
        <f t="shared" si="14"/>
        <v>0</v>
      </c>
    </row>
    <row r="942" spans="1:9" ht="15" customHeight="1" x14ac:dyDescent="0.25">
      <c r="A942" s="57">
        <v>45821</v>
      </c>
      <c r="B942" t="s">
        <v>124</v>
      </c>
      <c r="C942" t="s">
        <v>160</v>
      </c>
      <c r="D942" t="s">
        <v>74</v>
      </c>
      <c r="F942" s="24">
        <v>2500</v>
      </c>
      <c r="G942" s="24"/>
      <c r="H942" t="s">
        <v>668</v>
      </c>
      <c r="I942" s="74">
        <f t="shared" si="14"/>
        <v>0</v>
      </c>
    </row>
    <row r="943" spans="1:9" ht="15" customHeight="1" x14ac:dyDescent="0.25">
      <c r="A943" s="57">
        <v>45821</v>
      </c>
      <c r="B943" t="s">
        <v>124</v>
      </c>
      <c r="C943" t="s">
        <v>157</v>
      </c>
      <c r="D943" t="s">
        <v>88</v>
      </c>
      <c r="E943" t="s">
        <v>188</v>
      </c>
      <c r="F943" s="24"/>
      <c r="G943" s="24">
        <v>2500</v>
      </c>
      <c r="H943" t="s">
        <v>668</v>
      </c>
      <c r="I943" s="74">
        <f t="shared" si="14"/>
        <v>0</v>
      </c>
    </row>
    <row r="944" spans="1:9" ht="15" customHeight="1" x14ac:dyDescent="0.25">
      <c r="A944" s="57">
        <v>45822</v>
      </c>
      <c r="B944" t="s">
        <v>128</v>
      </c>
      <c r="C944" t="s">
        <v>160</v>
      </c>
      <c r="D944" t="s">
        <v>75</v>
      </c>
      <c r="F944" s="24">
        <v>500</v>
      </c>
      <c r="G944" s="24"/>
      <c r="H944" t="s">
        <v>669</v>
      </c>
      <c r="I944" s="74">
        <f t="shared" si="14"/>
        <v>0</v>
      </c>
    </row>
    <row r="945" spans="1:9" ht="15" customHeight="1" x14ac:dyDescent="0.25">
      <c r="A945" s="57">
        <v>45822</v>
      </c>
      <c r="B945" t="s">
        <v>128</v>
      </c>
      <c r="C945" t="s">
        <v>157</v>
      </c>
      <c r="D945" t="s">
        <v>88</v>
      </c>
      <c r="E945" t="s">
        <v>188</v>
      </c>
      <c r="F945" s="24"/>
      <c r="G945" s="24">
        <v>500</v>
      </c>
      <c r="H945" t="s">
        <v>669</v>
      </c>
      <c r="I945" s="74">
        <f t="shared" si="14"/>
        <v>0</v>
      </c>
    </row>
    <row r="946" spans="1:9" ht="15" customHeight="1" x14ac:dyDescent="0.25">
      <c r="A946" s="57">
        <v>45824</v>
      </c>
      <c r="B946" t="s">
        <v>136</v>
      </c>
      <c r="C946" t="s">
        <v>157</v>
      </c>
      <c r="D946" t="s">
        <v>98</v>
      </c>
      <c r="F946" s="24">
        <v>2000</v>
      </c>
      <c r="G946" s="24"/>
      <c r="H946" t="s">
        <v>670</v>
      </c>
      <c r="I946" s="74">
        <f t="shared" si="14"/>
        <v>0</v>
      </c>
    </row>
    <row r="947" spans="1:9" ht="15" customHeight="1" x14ac:dyDescent="0.25">
      <c r="A947" s="57">
        <v>45824</v>
      </c>
      <c r="B947" t="s">
        <v>136</v>
      </c>
      <c r="C947" t="s">
        <v>157</v>
      </c>
      <c r="D947" t="s">
        <v>88</v>
      </c>
      <c r="E947" t="s">
        <v>242</v>
      </c>
      <c r="F947" s="24"/>
      <c r="G947" s="24">
        <v>2000</v>
      </c>
      <c r="H947" t="s">
        <v>670</v>
      </c>
      <c r="I947" s="74">
        <f t="shared" si="14"/>
        <v>0</v>
      </c>
    </row>
    <row r="948" spans="1:9" ht="15" customHeight="1" x14ac:dyDescent="0.25">
      <c r="A948" s="57">
        <v>45826</v>
      </c>
      <c r="B948" t="s">
        <v>133</v>
      </c>
      <c r="C948" t="s">
        <v>157</v>
      </c>
      <c r="D948" t="s">
        <v>88</v>
      </c>
      <c r="E948" t="s">
        <v>243</v>
      </c>
      <c r="F948" s="24">
        <v>3000</v>
      </c>
      <c r="G948" s="24"/>
      <c r="H948" t="s">
        <v>671</v>
      </c>
      <c r="I948" s="74">
        <f t="shared" si="14"/>
        <v>0</v>
      </c>
    </row>
    <row r="949" spans="1:9" ht="15" customHeight="1" x14ac:dyDescent="0.25">
      <c r="A949" s="57">
        <v>45826</v>
      </c>
      <c r="B949" t="s">
        <v>133</v>
      </c>
      <c r="C949" t="s">
        <v>60</v>
      </c>
      <c r="D949" t="s">
        <v>62</v>
      </c>
      <c r="F949" s="24"/>
      <c r="G949" s="24">
        <v>3000</v>
      </c>
      <c r="H949" t="s">
        <v>671</v>
      </c>
      <c r="I949" s="74">
        <f t="shared" si="14"/>
        <v>0</v>
      </c>
    </row>
    <row r="950" spans="1:9" ht="15" customHeight="1" x14ac:dyDescent="0.25">
      <c r="A950" s="57">
        <v>45834</v>
      </c>
      <c r="B950" t="s">
        <v>204</v>
      </c>
      <c r="C950" t="s">
        <v>160</v>
      </c>
      <c r="D950" t="s">
        <v>67</v>
      </c>
      <c r="F950" s="24">
        <v>13500</v>
      </c>
      <c r="G950" s="24"/>
      <c r="H950" t="s">
        <v>672</v>
      </c>
      <c r="I950" s="74">
        <f t="shared" si="14"/>
        <v>0</v>
      </c>
    </row>
    <row r="951" spans="1:9" ht="15" customHeight="1" x14ac:dyDescent="0.25">
      <c r="A951" s="57">
        <v>45834</v>
      </c>
      <c r="B951" t="s">
        <v>204</v>
      </c>
      <c r="C951" t="s">
        <v>157</v>
      </c>
      <c r="D951" t="s">
        <v>92</v>
      </c>
      <c r="F951" s="24"/>
      <c r="G951" s="24">
        <v>13500</v>
      </c>
      <c r="H951" t="s">
        <v>672</v>
      </c>
      <c r="I951" s="74">
        <f t="shared" si="14"/>
        <v>0</v>
      </c>
    </row>
    <row r="952" spans="1:9" ht="15" customHeight="1" x14ac:dyDescent="0.25">
      <c r="A952" s="57">
        <v>45835</v>
      </c>
      <c r="B952" t="s">
        <v>207</v>
      </c>
      <c r="C952" t="s">
        <v>160</v>
      </c>
      <c r="D952" t="s">
        <v>73</v>
      </c>
      <c r="F952" s="24">
        <v>600</v>
      </c>
      <c r="G952" s="24"/>
      <c r="H952" t="s">
        <v>673</v>
      </c>
      <c r="I952" s="74">
        <f t="shared" si="14"/>
        <v>0</v>
      </c>
    </row>
    <row r="953" spans="1:9" ht="15" customHeight="1" x14ac:dyDescent="0.25">
      <c r="A953" s="57">
        <v>45835</v>
      </c>
      <c r="B953" t="s">
        <v>207</v>
      </c>
      <c r="C953" t="s">
        <v>157</v>
      </c>
      <c r="D953" t="s">
        <v>100</v>
      </c>
      <c r="F953" s="24"/>
      <c r="G953" s="24">
        <v>600</v>
      </c>
      <c r="H953" t="s">
        <v>673</v>
      </c>
      <c r="I953" s="74">
        <f t="shared" si="14"/>
        <v>0</v>
      </c>
    </row>
    <row r="954" spans="1:9" ht="15" customHeight="1" x14ac:dyDescent="0.25">
      <c r="A954" s="57">
        <v>45840</v>
      </c>
      <c r="B954" t="s">
        <v>181</v>
      </c>
      <c r="C954" t="s">
        <v>157</v>
      </c>
      <c r="D954" t="s">
        <v>90</v>
      </c>
      <c r="F954" s="24">
        <v>20000</v>
      </c>
      <c r="G954" s="24"/>
      <c r="H954" t="s">
        <v>674</v>
      </c>
      <c r="I954" s="74">
        <f t="shared" si="14"/>
        <v>0</v>
      </c>
    </row>
    <row r="955" spans="1:9" ht="15" customHeight="1" x14ac:dyDescent="0.25">
      <c r="A955" s="57">
        <v>45840</v>
      </c>
      <c r="B955" t="s">
        <v>181</v>
      </c>
      <c r="C955" t="s">
        <v>60</v>
      </c>
      <c r="D955" t="s">
        <v>63</v>
      </c>
      <c r="F955" s="24"/>
      <c r="G955" s="24">
        <v>20000</v>
      </c>
      <c r="H955" t="s">
        <v>674</v>
      </c>
      <c r="I955" s="74">
        <f t="shared" si="14"/>
        <v>0</v>
      </c>
    </row>
    <row r="956" spans="1:9" ht="15" customHeight="1" x14ac:dyDescent="0.25">
      <c r="A956" s="57">
        <v>45841</v>
      </c>
      <c r="B956" t="s">
        <v>184</v>
      </c>
      <c r="C956" t="s">
        <v>157</v>
      </c>
      <c r="D956" t="s">
        <v>92</v>
      </c>
      <c r="F956" s="24">
        <v>18000</v>
      </c>
      <c r="G956" s="24"/>
      <c r="H956" t="s">
        <v>675</v>
      </c>
      <c r="I956" s="74">
        <f t="shared" si="14"/>
        <v>0</v>
      </c>
    </row>
    <row r="957" spans="1:9" ht="15" customHeight="1" x14ac:dyDescent="0.25">
      <c r="A957" s="57">
        <v>45841</v>
      </c>
      <c r="B957" t="s">
        <v>184</v>
      </c>
      <c r="C957" t="s">
        <v>158</v>
      </c>
      <c r="D957" t="s">
        <v>89</v>
      </c>
      <c r="F957" s="24"/>
      <c r="G957" s="24">
        <v>18000</v>
      </c>
      <c r="H957" t="s">
        <v>675</v>
      </c>
      <c r="I957" s="74">
        <f t="shared" si="14"/>
        <v>0</v>
      </c>
    </row>
    <row r="958" spans="1:9" ht="15" customHeight="1" x14ac:dyDescent="0.25">
      <c r="A958" s="57">
        <v>45842</v>
      </c>
      <c r="B958" t="s">
        <v>122</v>
      </c>
      <c r="C958" t="s">
        <v>158</v>
      </c>
      <c r="D958" t="s">
        <v>89</v>
      </c>
      <c r="F958" s="24">
        <v>0</v>
      </c>
      <c r="G958" s="24"/>
      <c r="H958" t="s">
        <v>676</v>
      </c>
      <c r="I958" s="74">
        <f t="shared" si="14"/>
        <v>0</v>
      </c>
    </row>
    <row r="959" spans="1:9" ht="15" customHeight="1" x14ac:dyDescent="0.25">
      <c r="A959" s="57">
        <v>45842</v>
      </c>
      <c r="B959" t="s">
        <v>122</v>
      </c>
      <c r="C959" t="s">
        <v>157</v>
      </c>
      <c r="D959" t="s">
        <v>88</v>
      </c>
      <c r="E959" t="s">
        <v>188</v>
      </c>
      <c r="F959" s="24"/>
      <c r="G959" s="24">
        <v>0</v>
      </c>
      <c r="H959" t="s">
        <v>676</v>
      </c>
      <c r="I959" s="74">
        <f t="shared" si="14"/>
        <v>0</v>
      </c>
    </row>
    <row r="960" spans="1:9" ht="15" customHeight="1" x14ac:dyDescent="0.25">
      <c r="A960" s="57">
        <v>45843</v>
      </c>
      <c r="B960" t="s">
        <v>115</v>
      </c>
      <c r="C960" t="s">
        <v>157</v>
      </c>
      <c r="D960" t="s">
        <v>88</v>
      </c>
      <c r="E960" t="s">
        <v>190</v>
      </c>
      <c r="F960" s="24">
        <v>16000</v>
      </c>
      <c r="G960" s="24"/>
      <c r="H960" t="s">
        <v>677</v>
      </c>
      <c r="I960" s="74">
        <f t="shared" si="14"/>
        <v>0</v>
      </c>
    </row>
    <row r="961" spans="1:9" ht="15" customHeight="1" x14ac:dyDescent="0.25">
      <c r="A961" s="57">
        <v>45843</v>
      </c>
      <c r="B961" t="s">
        <v>115</v>
      </c>
      <c r="C961" t="s">
        <v>60</v>
      </c>
      <c r="D961" t="s">
        <v>63</v>
      </c>
      <c r="F961" s="24"/>
      <c r="G961" s="24">
        <v>16000</v>
      </c>
      <c r="H961" t="s">
        <v>677</v>
      </c>
      <c r="I961" s="74">
        <f t="shared" si="14"/>
        <v>0</v>
      </c>
    </row>
    <row r="962" spans="1:9" ht="15" customHeight="1" x14ac:dyDescent="0.25">
      <c r="A962" s="57">
        <v>45844</v>
      </c>
      <c r="B962" t="s">
        <v>113</v>
      </c>
      <c r="C962" t="s">
        <v>157</v>
      </c>
      <c r="D962" t="s">
        <v>88</v>
      </c>
      <c r="E962" t="s">
        <v>190</v>
      </c>
      <c r="F962" s="24">
        <v>3500</v>
      </c>
      <c r="G962" s="24"/>
      <c r="H962" t="s">
        <v>678</v>
      </c>
      <c r="I962" s="74">
        <f t="shared" ref="I962:I1025" si="15">SUMIF($H:$H,H962,$F:$F)-SUMIF($H:$H,H962,$G:$G)</f>
        <v>0</v>
      </c>
    </row>
    <row r="963" spans="1:9" ht="15" customHeight="1" x14ac:dyDescent="0.25">
      <c r="A963" s="57">
        <v>45844</v>
      </c>
      <c r="B963" t="s">
        <v>113</v>
      </c>
      <c r="C963" t="s">
        <v>60</v>
      </c>
      <c r="D963" t="s">
        <v>61</v>
      </c>
      <c r="F963" s="24"/>
      <c r="G963" s="24">
        <v>3500</v>
      </c>
      <c r="H963" t="s">
        <v>678</v>
      </c>
      <c r="I963" s="74">
        <f t="shared" si="15"/>
        <v>0</v>
      </c>
    </row>
    <row r="964" spans="1:9" ht="15" customHeight="1" x14ac:dyDescent="0.25">
      <c r="A964" s="57">
        <v>45845</v>
      </c>
      <c r="B964" t="s">
        <v>194</v>
      </c>
      <c r="C964" t="s">
        <v>157</v>
      </c>
      <c r="D964" t="s">
        <v>90</v>
      </c>
      <c r="F964" s="24">
        <v>10000</v>
      </c>
      <c r="G964" s="24"/>
      <c r="H964" t="s">
        <v>679</v>
      </c>
      <c r="I964" s="74">
        <f t="shared" si="15"/>
        <v>0</v>
      </c>
    </row>
    <row r="965" spans="1:9" ht="15" customHeight="1" x14ac:dyDescent="0.25">
      <c r="A965" s="57">
        <v>45845</v>
      </c>
      <c r="B965" t="s">
        <v>194</v>
      </c>
      <c r="C965" t="s">
        <v>60</v>
      </c>
      <c r="D965" t="s">
        <v>64</v>
      </c>
      <c r="F965" s="24"/>
      <c r="G965" s="24">
        <v>10000</v>
      </c>
      <c r="H965" t="s">
        <v>679</v>
      </c>
      <c r="I965" s="74">
        <f t="shared" si="15"/>
        <v>0</v>
      </c>
    </row>
    <row r="966" spans="1:9" ht="15" customHeight="1" x14ac:dyDescent="0.25">
      <c r="A966" s="57">
        <v>45846</v>
      </c>
      <c r="B966" t="s">
        <v>114</v>
      </c>
      <c r="C966" t="s">
        <v>157</v>
      </c>
      <c r="D966" t="s">
        <v>88</v>
      </c>
      <c r="E966" t="s">
        <v>190</v>
      </c>
      <c r="F966" s="24">
        <v>22000</v>
      </c>
      <c r="G966" s="24"/>
      <c r="H966" t="s">
        <v>680</v>
      </c>
      <c r="I966" s="74">
        <f t="shared" si="15"/>
        <v>0</v>
      </c>
    </row>
    <row r="967" spans="1:9" ht="15" customHeight="1" x14ac:dyDescent="0.25">
      <c r="A967" s="57">
        <v>45846</v>
      </c>
      <c r="B967" t="s">
        <v>114</v>
      </c>
      <c r="C967" t="s">
        <v>157</v>
      </c>
      <c r="D967" t="s">
        <v>90</v>
      </c>
      <c r="F967" s="24"/>
      <c r="G967" s="24">
        <v>22000</v>
      </c>
      <c r="H967" t="s">
        <v>680</v>
      </c>
      <c r="I967" s="74">
        <f t="shared" si="15"/>
        <v>0</v>
      </c>
    </row>
    <row r="968" spans="1:9" ht="15" customHeight="1" x14ac:dyDescent="0.25">
      <c r="A968" s="57">
        <v>45847</v>
      </c>
      <c r="B968" t="s">
        <v>118</v>
      </c>
      <c r="C968" t="s">
        <v>160</v>
      </c>
      <c r="D968" t="s">
        <v>77</v>
      </c>
      <c r="F968" s="24">
        <v>5500</v>
      </c>
      <c r="G968" s="24"/>
      <c r="H968" t="s">
        <v>681</v>
      </c>
      <c r="I968" s="74">
        <f t="shared" si="15"/>
        <v>0</v>
      </c>
    </row>
    <row r="969" spans="1:9" ht="15" customHeight="1" x14ac:dyDescent="0.25">
      <c r="A969" s="57">
        <v>45847</v>
      </c>
      <c r="B969" t="s">
        <v>118</v>
      </c>
      <c r="C969" t="s">
        <v>157</v>
      </c>
      <c r="D969" t="s">
        <v>88</v>
      </c>
      <c r="E969" t="s">
        <v>188</v>
      </c>
      <c r="F969" s="24"/>
      <c r="G969" s="24">
        <v>5500</v>
      </c>
      <c r="H969" t="s">
        <v>681</v>
      </c>
      <c r="I969" s="74">
        <f t="shared" si="15"/>
        <v>0</v>
      </c>
    </row>
    <row r="970" spans="1:9" ht="15" customHeight="1" x14ac:dyDescent="0.25">
      <c r="A970" s="57">
        <v>45848</v>
      </c>
      <c r="B970" t="s">
        <v>119</v>
      </c>
      <c r="C970" t="s">
        <v>160</v>
      </c>
      <c r="D970" t="s">
        <v>72</v>
      </c>
      <c r="F970" s="24">
        <v>6000</v>
      </c>
      <c r="G970" s="24"/>
      <c r="H970" t="s">
        <v>682</v>
      </c>
      <c r="I970" s="74">
        <f t="shared" si="15"/>
        <v>0</v>
      </c>
    </row>
    <row r="971" spans="1:9" ht="15" customHeight="1" x14ac:dyDescent="0.25">
      <c r="A971" s="57">
        <v>45848</v>
      </c>
      <c r="B971" t="s">
        <v>119</v>
      </c>
      <c r="C971" t="s">
        <v>157</v>
      </c>
      <c r="D971" t="s">
        <v>88</v>
      </c>
      <c r="E971" t="s">
        <v>188</v>
      </c>
      <c r="F971" s="24"/>
      <c r="G971" s="24">
        <v>6000</v>
      </c>
      <c r="H971" t="s">
        <v>682</v>
      </c>
      <c r="I971" s="74">
        <f t="shared" si="15"/>
        <v>0</v>
      </c>
    </row>
    <row r="972" spans="1:9" ht="15" customHeight="1" x14ac:dyDescent="0.25">
      <c r="A972" s="57">
        <v>45849</v>
      </c>
      <c r="B972" t="s">
        <v>120</v>
      </c>
      <c r="C972" t="s">
        <v>160</v>
      </c>
      <c r="D972" t="s">
        <v>81</v>
      </c>
      <c r="F972" s="24">
        <v>2500</v>
      </c>
      <c r="G972" s="24"/>
      <c r="H972" t="s">
        <v>683</v>
      </c>
      <c r="I972" s="74">
        <f t="shared" si="15"/>
        <v>0</v>
      </c>
    </row>
    <row r="973" spans="1:9" ht="15" customHeight="1" x14ac:dyDescent="0.25">
      <c r="A973" s="57">
        <v>45849</v>
      </c>
      <c r="B973" t="s">
        <v>120</v>
      </c>
      <c r="C973" t="s">
        <v>157</v>
      </c>
      <c r="D973" t="s">
        <v>88</v>
      </c>
      <c r="E973" t="s">
        <v>188</v>
      </c>
      <c r="F973" s="24"/>
      <c r="G973" s="24">
        <v>2500</v>
      </c>
      <c r="H973" t="s">
        <v>683</v>
      </c>
      <c r="I973" s="74">
        <f t="shared" si="15"/>
        <v>0</v>
      </c>
    </row>
    <row r="974" spans="1:9" ht="15" customHeight="1" x14ac:dyDescent="0.25">
      <c r="A974" s="57">
        <v>45850</v>
      </c>
      <c r="B974" t="s">
        <v>121</v>
      </c>
      <c r="C974" t="s">
        <v>160</v>
      </c>
      <c r="D974" t="s">
        <v>71</v>
      </c>
      <c r="F974" s="24">
        <v>1500</v>
      </c>
      <c r="G974" s="24"/>
      <c r="H974" t="s">
        <v>684</v>
      </c>
      <c r="I974" s="74">
        <f t="shared" si="15"/>
        <v>0</v>
      </c>
    </row>
    <row r="975" spans="1:9" ht="15" customHeight="1" x14ac:dyDescent="0.25">
      <c r="A975" s="57">
        <v>45850</v>
      </c>
      <c r="B975" t="s">
        <v>121</v>
      </c>
      <c r="C975" t="s">
        <v>157</v>
      </c>
      <c r="D975" t="s">
        <v>88</v>
      </c>
      <c r="E975" t="s">
        <v>188</v>
      </c>
      <c r="F975" s="24"/>
      <c r="G975" s="24">
        <v>1500</v>
      </c>
      <c r="H975" t="s">
        <v>684</v>
      </c>
      <c r="I975" s="74">
        <f t="shared" si="15"/>
        <v>0</v>
      </c>
    </row>
    <row r="976" spans="1:9" ht="15" customHeight="1" x14ac:dyDescent="0.25">
      <c r="A976" s="57">
        <v>45851</v>
      </c>
      <c r="B976" t="s">
        <v>125</v>
      </c>
      <c r="C976" t="s">
        <v>160</v>
      </c>
      <c r="D976" t="s">
        <v>76</v>
      </c>
      <c r="F976" s="24">
        <v>700</v>
      </c>
      <c r="G976" s="24"/>
      <c r="H976" t="s">
        <v>685</v>
      </c>
      <c r="I976" s="74">
        <f t="shared" si="15"/>
        <v>0</v>
      </c>
    </row>
    <row r="977" spans="1:9" ht="15" customHeight="1" x14ac:dyDescent="0.25">
      <c r="A977" s="57">
        <v>45851</v>
      </c>
      <c r="B977" t="s">
        <v>125</v>
      </c>
      <c r="C977" t="s">
        <v>157</v>
      </c>
      <c r="D977" t="s">
        <v>88</v>
      </c>
      <c r="E977" t="s">
        <v>188</v>
      </c>
      <c r="F977" s="24"/>
      <c r="G977" s="24">
        <v>700</v>
      </c>
      <c r="H977" t="s">
        <v>685</v>
      </c>
      <c r="I977" s="74">
        <f t="shared" si="15"/>
        <v>0</v>
      </c>
    </row>
    <row r="978" spans="1:9" ht="15" customHeight="1" x14ac:dyDescent="0.25">
      <c r="A978" s="57">
        <v>45852</v>
      </c>
      <c r="B978" t="s">
        <v>128</v>
      </c>
      <c r="C978" t="s">
        <v>160</v>
      </c>
      <c r="D978" t="s">
        <v>75</v>
      </c>
      <c r="F978" s="24">
        <v>500</v>
      </c>
      <c r="G978" s="24"/>
      <c r="H978" t="s">
        <v>686</v>
      </c>
      <c r="I978" s="74">
        <f t="shared" si="15"/>
        <v>0</v>
      </c>
    </row>
    <row r="979" spans="1:9" ht="15" customHeight="1" x14ac:dyDescent="0.25">
      <c r="A979" s="57">
        <v>45852</v>
      </c>
      <c r="B979" t="s">
        <v>128</v>
      </c>
      <c r="C979" t="s">
        <v>157</v>
      </c>
      <c r="D979" t="s">
        <v>88</v>
      </c>
      <c r="E979" t="s">
        <v>188</v>
      </c>
      <c r="F979" s="24"/>
      <c r="G979" s="24">
        <v>500</v>
      </c>
      <c r="H979" t="s">
        <v>686</v>
      </c>
      <c r="I979" s="74">
        <f t="shared" si="15"/>
        <v>0</v>
      </c>
    </row>
    <row r="980" spans="1:9" ht="15" customHeight="1" x14ac:dyDescent="0.25">
      <c r="A980" s="57">
        <v>45864</v>
      </c>
      <c r="B980" t="s">
        <v>204</v>
      </c>
      <c r="C980" t="s">
        <v>160</v>
      </c>
      <c r="D980" t="s">
        <v>67</v>
      </c>
      <c r="F980" s="24">
        <v>16000</v>
      </c>
      <c r="G980" s="24"/>
      <c r="H980" t="s">
        <v>687</v>
      </c>
      <c r="I980" s="74">
        <f t="shared" si="15"/>
        <v>0</v>
      </c>
    </row>
    <row r="981" spans="1:9" ht="15" customHeight="1" x14ac:dyDescent="0.25">
      <c r="A981" s="57">
        <v>45864</v>
      </c>
      <c r="B981" t="s">
        <v>204</v>
      </c>
      <c r="C981" t="s">
        <v>157</v>
      </c>
      <c r="D981" t="s">
        <v>92</v>
      </c>
      <c r="F981" s="24"/>
      <c r="G981" s="24">
        <v>16000</v>
      </c>
      <c r="H981" t="s">
        <v>687</v>
      </c>
      <c r="I981" s="74">
        <f t="shared" si="15"/>
        <v>0</v>
      </c>
    </row>
    <row r="982" spans="1:9" ht="15" customHeight="1" x14ac:dyDescent="0.25">
      <c r="A982" s="57">
        <v>45865</v>
      </c>
      <c r="B982" t="s">
        <v>207</v>
      </c>
      <c r="C982" t="s">
        <v>160</v>
      </c>
      <c r="D982" t="s">
        <v>73</v>
      </c>
      <c r="F982" s="24">
        <v>1100</v>
      </c>
      <c r="G982" s="24"/>
      <c r="H982" t="s">
        <v>688</v>
      </c>
      <c r="I982" s="74">
        <f t="shared" si="15"/>
        <v>0</v>
      </c>
    </row>
    <row r="983" spans="1:9" ht="15" customHeight="1" x14ac:dyDescent="0.25">
      <c r="A983" s="57">
        <v>45865</v>
      </c>
      <c r="B983" t="s">
        <v>207</v>
      </c>
      <c r="C983" t="s">
        <v>157</v>
      </c>
      <c r="D983" t="s">
        <v>100</v>
      </c>
      <c r="F983" s="24"/>
      <c r="G983" s="24">
        <v>1100</v>
      </c>
      <c r="H983" t="s">
        <v>688</v>
      </c>
      <c r="I983" s="74">
        <f t="shared" si="15"/>
        <v>0</v>
      </c>
    </row>
    <row r="984" spans="1:9" ht="15" customHeight="1" x14ac:dyDescent="0.25">
      <c r="A984" s="57">
        <v>45871</v>
      </c>
      <c r="B984" t="s">
        <v>181</v>
      </c>
      <c r="C984" t="s">
        <v>157</v>
      </c>
      <c r="D984" t="s">
        <v>90</v>
      </c>
      <c r="F984" s="24">
        <v>26000</v>
      </c>
      <c r="G984" s="24"/>
      <c r="H984" t="s">
        <v>689</v>
      </c>
      <c r="I984" s="74">
        <f t="shared" si="15"/>
        <v>0</v>
      </c>
    </row>
    <row r="985" spans="1:9" ht="15" customHeight="1" x14ac:dyDescent="0.25">
      <c r="A985" s="57">
        <v>45871</v>
      </c>
      <c r="B985" t="s">
        <v>181</v>
      </c>
      <c r="C985" t="s">
        <v>60</v>
      </c>
      <c r="D985" t="s">
        <v>63</v>
      </c>
      <c r="F985" s="24"/>
      <c r="G985" s="24">
        <v>26000</v>
      </c>
      <c r="H985" t="s">
        <v>689</v>
      </c>
      <c r="I985" s="74">
        <f t="shared" si="15"/>
        <v>0</v>
      </c>
    </row>
    <row r="986" spans="1:9" ht="15" customHeight="1" x14ac:dyDescent="0.25">
      <c r="A986" s="57">
        <v>45872</v>
      </c>
      <c r="B986" t="s">
        <v>184</v>
      </c>
      <c r="C986" t="s">
        <v>157</v>
      </c>
      <c r="D986" t="s">
        <v>92</v>
      </c>
      <c r="F986" s="24">
        <v>24000</v>
      </c>
      <c r="G986" s="24"/>
      <c r="H986" t="s">
        <v>690</v>
      </c>
      <c r="I986" s="74">
        <f t="shared" si="15"/>
        <v>0</v>
      </c>
    </row>
    <row r="987" spans="1:9" ht="15" customHeight="1" x14ac:dyDescent="0.25">
      <c r="A987" s="57">
        <v>45872</v>
      </c>
      <c r="B987" t="s">
        <v>184</v>
      </c>
      <c r="C987" t="s">
        <v>158</v>
      </c>
      <c r="D987" t="s">
        <v>89</v>
      </c>
      <c r="F987" s="24"/>
      <c r="G987" s="24">
        <v>24000</v>
      </c>
      <c r="H987" t="s">
        <v>690</v>
      </c>
      <c r="I987" s="74">
        <f t="shared" si="15"/>
        <v>0</v>
      </c>
    </row>
    <row r="988" spans="1:9" ht="15" customHeight="1" x14ac:dyDescent="0.25">
      <c r="A988" s="57">
        <v>45873</v>
      </c>
      <c r="B988" t="s">
        <v>122</v>
      </c>
      <c r="C988" t="s">
        <v>158</v>
      </c>
      <c r="D988" t="s">
        <v>89</v>
      </c>
      <c r="F988" s="24">
        <v>0</v>
      </c>
      <c r="G988" s="24"/>
      <c r="H988" t="s">
        <v>691</v>
      </c>
      <c r="I988" s="74">
        <f t="shared" si="15"/>
        <v>0</v>
      </c>
    </row>
    <row r="989" spans="1:9" ht="15" customHeight="1" x14ac:dyDescent="0.25">
      <c r="A989" s="57">
        <v>45873</v>
      </c>
      <c r="B989" t="s">
        <v>122</v>
      </c>
      <c r="C989" t="s">
        <v>157</v>
      </c>
      <c r="D989" t="s">
        <v>88</v>
      </c>
      <c r="E989" t="s">
        <v>188</v>
      </c>
      <c r="F989" s="24"/>
      <c r="G989" s="24">
        <v>0</v>
      </c>
      <c r="H989" t="s">
        <v>691</v>
      </c>
      <c r="I989" s="74">
        <f t="shared" si="15"/>
        <v>0</v>
      </c>
    </row>
    <row r="990" spans="1:9" ht="15" customHeight="1" x14ac:dyDescent="0.25">
      <c r="A990" s="57">
        <v>45874</v>
      </c>
      <c r="B990" t="s">
        <v>115</v>
      </c>
      <c r="C990" t="s">
        <v>157</v>
      </c>
      <c r="D990" t="s">
        <v>88</v>
      </c>
      <c r="E990" t="s">
        <v>190</v>
      </c>
      <c r="F990" s="24">
        <v>20000</v>
      </c>
      <c r="G990" s="24"/>
      <c r="H990" t="s">
        <v>692</v>
      </c>
      <c r="I990" s="74">
        <f t="shared" si="15"/>
        <v>0</v>
      </c>
    </row>
    <row r="991" spans="1:9" ht="15" customHeight="1" x14ac:dyDescent="0.25">
      <c r="A991" s="57">
        <v>45874</v>
      </c>
      <c r="B991" t="s">
        <v>115</v>
      </c>
      <c r="C991" t="s">
        <v>60</v>
      </c>
      <c r="D991" t="s">
        <v>63</v>
      </c>
      <c r="F991" s="24"/>
      <c r="G991" s="24">
        <v>20000</v>
      </c>
      <c r="H991" t="s">
        <v>692</v>
      </c>
      <c r="I991" s="74">
        <f t="shared" si="15"/>
        <v>0</v>
      </c>
    </row>
    <row r="992" spans="1:9" ht="15" customHeight="1" x14ac:dyDescent="0.25">
      <c r="A992" s="57">
        <v>45875</v>
      </c>
      <c r="B992" t="s">
        <v>113</v>
      </c>
      <c r="C992" t="s">
        <v>157</v>
      </c>
      <c r="D992" t="s">
        <v>88</v>
      </c>
      <c r="E992" t="s">
        <v>190</v>
      </c>
      <c r="F992" s="24">
        <v>7000</v>
      </c>
      <c r="G992" s="24"/>
      <c r="H992" t="s">
        <v>693</v>
      </c>
      <c r="I992" s="74">
        <f t="shared" si="15"/>
        <v>0</v>
      </c>
    </row>
    <row r="993" spans="1:9" ht="15" customHeight="1" x14ac:dyDescent="0.25">
      <c r="A993" s="57">
        <v>45875</v>
      </c>
      <c r="B993" t="s">
        <v>113</v>
      </c>
      <c r="C993" t="s">
        <v>60</v>
      </c>
      <c r="D993" t="s">
        <v>61</v>
      </c>
      <c r="F993" s="24"/>
      <c r="G993" s="24">
        <v>7000</v>
      </c>
      <c r="H993" t="s">
        <v>693</v>
      </c>
      <c r="I993" s="74">
        <f t="shared" si="15"/>
        <v>0</v>
      </c>
    </row>
    <row r="994" spans="1:9" ht="15" customHeight="1" x14ac:dyDescent="0.25">
      <c r="A994" s="57">
        <v>45876</v>
      </c>
      <c r="B994" t="s">
        <v>194</v>
      </c>
      <c r="C994" t="s">
        <v>157</v>
      </c>
      <c r="D994" t="s">
        <v>90</v>
      </c>
      <c r="F994" s="24">
        <v>11000</v>
      </c>
      <c r="G994" s="24"/>
      <c r="H994" t="s">
        <v>694</v>
      </c>
      <c r="I994" s="74">
        <f t="shared" si="15"/>
        <v>0</v>
      </c>
    </row>
    <row r="995" spans="1:9" ht="15" customHeight="1" x14ac:dyDescent="0.25">
      <c r="A995" s="57">
        <v>45876</v>
      </c>
      <c r="B995" t="s">
        <v>194</v>
      </c>
      <c r="C995" t="s">
        <v>60</v>
      </c>
      <c r="D995" t="s">
        <v>64</v>
      </c>
      <c r="F995" s="24"/>
      <c r="G995" s="24">
        <v>11000</v>
      </c>
      <c r="H995" t="s">
        <v>694</v>
      </c>
      <c r="I995" s="74">
        <f t="shared" si="15"/>
        <v>0</v>
      </c>
    </row>
    <row r="996" spans="1:9" ht="15" customHeight="1" x14ac:dyDescent="0.25">
      <c r="A996" s="57">
        <v>45877</v>
      </c>
      <c r="B996" t="s">
        <v>114</v>
      </c>
      <c r="C996" t="s">
        <v>157</v>
      </c>
      <c r="D996" t="s">
        <v>88</v>
      </c>
      <c r="E996" t="s">
        <v>190</v>
      </c>
      <c r="F996" s="24">
        <v>25000</v>
      </c>
      <c r="G996" s="24"/>
      <c r="H996" t="s">
        <v>695</v>
      </c>
      <c r="I996" s="74">
        <f t="shared" si="15"/>
        <v>0</v>
      </c>
    </row>
    <row r="997" spans="1:9" ht="15" customHeight="1" x14ac:dyDescent="0.25">
      <c r="A997" s="57">
        <v>45877</v>
      </c>
      <c r="B997" t="s">
        <v>114</v>
      </c>
      <c r="C997" t="s">
        <v>157</v>
      </c>
      <c r="D997" t="s">
        <v>90</v>
      </c>
      <c r="F997" s="24"/>
      <c r="G997" s="24">
        <v>25000</v>
      </c>
      <c r="H997" t="s">
        <v>695</v>
      </c>
      <c r="I997" s="74">
        <f t="shared" si="15"/>
        <v>0</v>
      </c>
    </row>
    <row r="998" spans="1:9" ht="15" customHeight="1" x14ac:dyDescent="0.25">
      <c r="A998" s="57">
        <v>45878</v>
      </c>
      <c r="B998" t="s">
        <v>118</v>
      </c>
      <c r="C998" t="s">
        <v>160</v>
      </c>
      <c r="D998" t="s">
        <v>77</v>
      </c>
      <c r="F998" s="24">
        <v>5500</v>
      </c>
      <c r="G998" s="24"/>
      <c r="H998" t="s">
        <v>696</v>
      </c>
      <c r="I998" s="74">
        <f t="shared" si="15"/>
        <v>0</v>
      </c>
    </row>
    <row r="999" spans="1:9" ht="15" customHeight="1" x14ac:dyDescent="0.25">
      <c r="A999" s="57">
        <v>45878</v>
      </c>
      <c r="B999" t="s">
        <v>118</v>
      </c>
      <c r="C999" t="s">
        <v>157</v>
      </c>
      <c r="D999" t="s">
        <v>88</v>
      </c>
      <c r="E999" t="s">
        <v>188</v>
      </c>
      <c r="F999" s="24"/>
      <c r="G999" s="24">
        <v>5500</v>
      </c>
      <c r="H999" t="s">
        <v>696</v>
      </c>
      <c r="I999" s="74">
        <f t="shared" si="15"/>
        <v>0</v>
      </c>
    </row>
    <row r="1000" spans="1:9" ht="15" customHeight="1" x14ac:dyDescent="0.25">
      <c r="A1000" s="57">
        <v>45879</v>
      </c>
      <c r="B1000" t="s">
        <v>119</v>
      </c>
      <c r="C1000" t="s">
        <v>160</v>
      </c>
      <c r="D1000" t="s">
        <v>72</v>
      </c>
      <c r="F1000" s="24">
        <v>6000</v>
      </c>
      <c r="G1000" s="24"/>
      <c r="H1000" t="s">
        <v>697</v>
      </c>
      <c r="I1000" s="74">
        <f t="shared" si="15"/>
        <v>0</v>
      </c>
    </row>
    <row r="1001" spans="1:9" ht="15" customHeight="1" x14ac:dyDescent="0.25">
      <c r="A1001" s="57">
        <v>45879</v>
      </c>
      <c r="B1001" t="s">
        <v>119</v>
      </c>
      <c r="C1001" t="s">
        <v>157</v>
      </c>
      <c r="D1001" t="s">
        <v>88</v>
      </c>
      <c r="E1001" t="s">
        <v>188</v>
      </c>
      <c r="F1001" s="24"/>
      <c r="G1001" s="24">
        <v>6000</v>
      </c>
      <c r="H1001" t="s">
        <v>697</v>
      </c>
      <c r="I1001" s="74">
        <f t="shared" si="15"/>
        <v>0</v>
      </c>
    </row>
    <row r="1002" spans="1:9" ht="15" customHeight="1" x14ac:dyDescent="0.25">
      <c r="A1002" s="57">
        <v>45880</v>
      </c>
      <c r="B1002" t="s">
        <v>120</v>
      </c>
      <c r="C1002" t="s">
        <v>160</v>
      </c>
      <c r="D1002" t="s">
        <v>81</v>
      </c>
      <c r="F1002" s="24">
        <v>2500</v>
      </c>
      <c r="G1002" s="24"/>
      <c r="H1002" t="s">
        <v>698</v>
      </c>
      <c r="I1002" s="74">
        <f t="shared" si="15"/>
        <v>0</v>
      </c>
    </row>
    <row r="1003" spans="1:9" ht="15" customHeight="1" x14ac:dyDescent="0.25">
      <c r="A1003" s="57">
        <v>45880</v>
      </c>
      <c r="B1003" t="s">
        <v>120</v>
      </c>
      <c r="C1003" t="s">
        <v>157</v>
      </c>
      <c r="D1003" t="s">
        <v>88</v>
      </c>
      <c r="E1003" t="s">
        <v>188</v>
      </c>
      <c r="F1003" s="24"/>
      <c r="G1003" s="24">
        <v>2500</v>
      </c>
      <c r="H1003" t="s">
        <v>698</v>
      </c>
      <c r="I1003" s="74">
        <f t="shared" si="15"/>
        <v>0</v>
      </c>
    </row>
    <row r="1004" spans="1:9" ht="15" customHeight="1" x14ac:dyDescent="0.25">
      <c r="A1004" s="57">
        <v>45881</v>
      </c>
      <c r="B1004" t="s">
        <v>121</v>
      </c>
      <c r="C1004" t="s">
        <v>160</v>
      </c>
      <c r="D1004" t="s">
        <v>71</v>
      </c>
      <c r="F1004" s="24">
        <v>1000</v>
      </c>
      <c r="G1004" s="24"/>
      <c r="H1004" t="s">
        <v>699</v>
      </c>
      <c r="I1004" s="74">
        <f t="shared" si="15"/>
        <v>0</v>
      </c>
    </row>
    <row r="1005" spans="1:9" ht="15" customHeight="1" x14ac:dyDescent="0.25">
      <c r="A1005" s="57">
        <v>45881</v>
      </c>
      <c r="B1005" t="s">
        <v>121</v>
      </c>
      <c r="C1005" t="s">
        <v>157</v>
      </c>
      <c r="D1005" t="s">
        <v>88</v>
      </c>
      <c r="E1005" t="s">
        <v>188</v>
      </c>
      <c r="F1005" s="24"/>
      <c r="G1005" s="24">
        <v>1000</v>
      </c>
      <c r="H1005" t="s">
        <v>699</v>
      </c>
      <c r="I1005" s="74">
        <f t="shared" si="15"/>
        <v>0</v>
      </c>
    </row>
    <row r="1006" spans="1:9" ht="15" customHeight="1" x14ac:dyDescent="0.25">
      <c r="A1006" s="57">
        <v>45882</v>
      </c>
      <c r="B1006" t="s">
        <v>126</v>
      </c>
      <c r="C1006" t="s">
        <v>160</v>
      </c>
      <c r="D1006" t="s">
        <v>79</v>
      </c>
      <c r="F1006" s="24">
        <v>1000</v>
      </c>
      <c r="G1006" s="24"/>
      <c r="H1006" t="s">
        <v>700</v>
      </c>
      <c r="I1006" s="74">
        <f t="shared" si="15"/>
        <v>0</v>
      </c>
    </row>
    <row r="1007" spans="1:9" ht="15" customHeight="1" x14ac:dyDescent="0.25">
      <c r="A1007" s="57">
        <v>45882</v>
      </c>
      <c r="B1007" t="s">
        <v>126</v>
      </c>
      <c r="C1007" t="s">
        <v>157</v>
      </c>
      <c r="D1007" t="s">
        <v>88</v>
      </c>
      <c r="E1007" t="s">
        <v>188</v>
      </c>
      <c r="F1007" s="24"/>
      <c r="G1007" s="24">
        <v>1000</v>
      </c>
      <c r="H1007" t="s">
        <v>700</v>
      </c>
      <c r="I1007" s="74">
        <f t="shared" si="15"/>
        <v>0</v>
      </c>
    </row>
    <row r="1008" spans="1:9" ht="15" customHeight="1" x14ac:dyDescent="0.25">
      <c r="A1008" s="57">
        <v>45883</v>
      </c>
      <c r="B1008" t="s">
        <v>128</v>
      </c>
      <c r="C1008" t="s">
        <v>160</v>
      </c>
      <c r="D1008" t="s">
        <v>75</v>
      </c>
      <c r="F1008" s="24">
        <v>500</v>
      </c>
      <c r="G1008" s="24"/>
      <c r="H1008" t="s">
        <v>701</v>
      </c>
      <c r="I1008" s="74">
        <f t="shared" si="15"/>
        <v>0</v>
      </c>
    </row>
    <row r="1009" spans="1:9" ht="15" customHeight="1" x14ac:dyDescent="0.25">
      <c r="A1009" s="57">
        <v>45883</v>
      </c>
      <c r="B1009" t="s">
        <v>128</v>
      </c>
      <c r="C1009" t="s">
        <v>157</v>
      </c>
      <c r="D1009" t="s">
        <v>88</v>
      </c>
      <c r="E1009" t="s">
        <v>188</v>
      </c>
      <c r="F1009" s="24"/>
      <c r="G1009" s="24">
        <v>500</v>
      </c>
      <c r="H1009" t="s">
        <v>701</v>
      </c>
      <c r="I1009" s="74">
        <f t="shared" si="15"/>
        <v>0</v>
      </c>
    </row>
    <row r="1010" spans="1:9" ht="15" customHeight="1" x14ac:dyDescent="0.25">
      <c r="A1010" s="57">
        <v>45895</v>
      </c>
      <c r="B1010" t="s">
        <v>204</v>
      </c>
      <c r="C1010" t="s">
        <v>160</v>
      </c>
      <c r="D1010" t="s">
        <v>67</v>
      </c>
      <c r="F1010" s="24">
        <v>20000</v>
      </c>
      <c r="G1010" s="24"/>
      <c r="H1010" t="s">
        <v>702</v>
      </c>
      <c r="I1010" s="74">
        <f t="shared" si="15"/>
        <v>0</v>
      </c>
    </row>
    <row r="1011" spans="1:9" ht="15" customHeight="1" x14ac:dyDescent="0.25">
      <c r="A1011" s="57">
        <v>45895</v>
      </c>
      <c r="B1011" t="s">
        <v>204</v>
      </c>
      <c r="C1011" t="s">
        <v>157</v>
      </c>
      <c r="D1011" t="s">
        <v>92</v>
      </c>
      <c r="F1011" s="24"/>
      <c r="G1011" s="24">
        <v>20000</v>
      </c>
      <c r="H1011" t="s">
        <v>702</v>
      </c>
      <c r="I1011" s="74">
        <f t="shared" si="15"/>
        <v>0</v>
      </c>
    </row>
    <row r="1012" spans="1:9" ht="15" customHeight="1" x14ac:dyDescent="0.25">
      <c r="A1012" s="57">
        <v>45896</v>
      </c>
      <c r="B1012" t="s">
        <v>207</v>
      </c>
      <c r="C1012" t="s">
        <v>160</v>
      </c>
      <c r="D1012" t="s">
        <v>73</v>
      </c>
      <c r="F1012" s="24">
        <v>900</v>
      </c>
      <c r="G1012" s="24"/>
      <c r="H1012" t="s">
        <v>703</v>
      </c>
      <c r="I1012" s="74">
        <f t="shared" si="15"/>
        <v>0</v>
      </c>
    </row>
    <row r="1013" spans="1:9" ht="15" customHeight="1" x14ac:dyDescent="0.25">
      <c r="A1013" s="57">
        <v>45896</v>
      </c>
      <c r="B1013" t="s">
        <v>207</v>
      </c>
      <c r="C1013" t="s">
        <v>157</v>
      </c>
      <c r="D1013" t="s">
        <v>100</v>
      </c>
      <c r="F1013" s="24"/>
      <c r="G1013" s="24">
        <v>900</v>
      </c>
      <c r="H1013" t="s">
        <v>703</v>
      </c>
      <c r="I1013" s="74">
        <f t="shared" si="15"/>
        <v>0</v>
      </c>
    </row>
    <row r="1014" spans="1:9" ht="15" customHeight="1" x14ac:dyDescent="0.25">
      <c r="A1014" s="57">
        <v>45902</v>
      </c>
      <c r="B1014" t="s">
        <v>181</v>
      </c>
      <c r="C1014" t="s">
        <v>157</v>
      </c>
      <c r="D1014" t="s">
        <v>90</v>
      </c>
      <c r="F1014" s="24">
        <v>27000</v>
      </c>
      <c r="G1014" s="24"/>
      <c r="H1014" t="s">
        <v>704</v>
      </c>
      <c r="I1014" s="74">
        <f t="shared" si="15"/>
        <v>0</v>
      </c>
    </row>
    <row r="1015" spans="1:9" ht="15" customHeight="1" x14ac:dyDescent="0.25">
      <c r="A1015" s="57">
        <v>45902</v>
      </c>
      <c r="B1015" t="s">
        <v>181</v>
      </c>
      <c r="C1015" t="s">
        <v>60</v>
      </c>
      <c r="D1015" t="s">
        <v>63</v>
      </c>
      <c r="F1015" s="24"/>
      <c r="G1015" s="24">
        <v>27000</v>
      </c>
      <c r="H1015" t="s">
        <v>704</v>
      </c>
      <c r="I1015" s="74">
        <f t="shared" si="15"/>
        <v>0</v>
      </c>
    </row>
    <row r="1016" spans="1:9" ht="15" customHeight="1" x14ac:dyDescent="0.25">
      <c r="A1016" s="57">
        <v>45903</v>
      </c>
      <c r="B1016" t="s">
        <v>184</v>
      </c>
      <c r="C1016" t="s">
        <v>157</v>
      </c>
      <c r="D1016" t="s">
        <v>92</v>
      </c>
      <c r="F1016" s="24">
        <v>24000</v>
      </c>
      <c r="G1016" s="24"/>
      <c r="H1016" t="s">
        <v>705</v>
      </c>
      <c r="I1016" s="74">
        <f t="shared" si="15"/>
        <v>0</v>
      </c>
    </row>
    <row r="1017" spans="1:9" ht="15" customHeight="1" x14ac:dyDescent="0.25">
      <c r="A1017" s="57">
        <v>45903</v>
      </c>
      <c r="B1017" t="s">
        <v>184</v>
      </c>
      <c r="C1017" t="s">
        <v>158</v>
      </c>
      <c r="D1017" t="s">
        <v>89</v>
      </c>
      <c r="F1017" s="24"/>
      <c r="G1017" s="24">
        <v>24000</v>
      </c>
      <c r="H1017" t="s">
        <v>705</v>
      </c>
      <c r="I1017" s="74">
        <f t="shared" si="15"/>
        <v>0</v>
      </c>
    </row>
    <row r="1018" spans="1:9" ht="15" customHeight="1" x14ac:dyDescent="0.25">
      <c r="A1018" s="57">
        <v>45904</v>
      </c>
      <c r="B1018" t="s">
        <v>122</v>
      </c>
      <c r="C1018" t="s">
        <v>158</v>
      </c>
      <c r="D1018" t="s">
        <v>89</v>
      </c>
      <c r="F1018" s="24">
        <v>0</v>
      </c>
      <c r="G1018" s="24"/>
      <c r="H1018" t="s">
        <v>706</v>
      </c>
      <c r="I1018" s="74">
        <f t="shared" si="15"/>
        <v>0</v>
      </c>
    </row>
    <row r="1019" spans="1:9" ht="15" customHeight="1" x14ac:dyDescent="0.25">
      <c r="A1019" s="57">
        <v>45904</v>
      </c>
      <c r="B1019" t="s">
        <v>122</v>
      </c>
      <c r="C1019" t="s">
        <v>157</v>
      </c>
      <c r="D1019" t="s">
        <v>88</v>
      </c>
      <c r="E1019" t="s">
        <v>188</v>
      </c>
      <c r="F1019" s="24"/>
      <c r="G1019" s="24">
        <v>0</v>
      </c>
      <c r="H1019" t="s">
        <v>706</v>
      </c>
      <c r="I1019" s="74">
        <f t="shared" si="15"/>
        <v>0</v>
      </c>
    </row>
    <row r="1020" spans="1:9" ht="15" customHeight="1" x14ac:dyDescent="0.25">
      <c r="A1020" s="57">
        <v>45905</v>
      </c>
      <c r="B1020" t="s">
        <v>115</v>
      </c>
      <c r="C1020" t="s">
        <v>157</v>
      </c>
      <c r="D1020" t="s">
        <v>88</v>
      </c>
      <c r="E1020" t="s">
        <v>190</v>
      </c>
      <c r="F1020" s="24">
        <v>18000</v>
      </c>
      <c r="G1020" s="24"/>
      <c r="H1020" t="s">
        <v>707</v>
      </c>
      <c r="I1020" s="74">
        <f t="shared" si="15"/>
        <v>0</v>
      </c>
    </row>
    <row r="1021" spans="1:9" ht="15" customHeight="1" x14ac:dyDescent="0.25">
      <c r="A1021" s="57">
        <v>45905</v>
      </c>
      <c r="B1021" t="s">
        <v>115</v>
      </c>
      <c r="C1021" t="s">
        <v>60</v>
      </c>
      <c r="D1021" t="s">
        <v>63</v>
      </c>
      <c r="F1021" s="24"/>
      <c r="G1021" s="24">
        <v>18000</v>
      </c>
      <c r="H1021" t="s">
        <v>707</v>
      </c>
      <c r="I1021" s="74">
        <f t="shared" si="15"/>
        <v>0</v>
      </c>
    </row>
    <row r="1022" spans="1:9" ht="15" customHeight="1" x14ac:dyDescent="0.25">
      <c r="A1022" s="57">
        <v>45906</v>
      </c>
      <c r="B1022" t="s">
        <v>113</v>
      </c>
      <c r="C1022" t="s">
        <v>157</v>
      </c>
      <c r="D1022" t="s">
        <v>88</v>
      </c>
      <c r="E1022" t="s">
        <v>190</v>
      </c>
      <c r="F1022" s="24">
        <v>7500</v>
      </c>
      <c r="G1022" s="24"/>
      <c r="H1022" t="s">
        <v>708</v>
      </c>
      <c r="I1022" s="74">
        <f t="shared" si="15"/>
        <v>0</v>
      </c>
    </row>
    <row r="1023" spans="1:9" ht="15" customHeight="1" x14ac:dyDescent="0.25">
      <c r="A1023" s="57">
        <v>45906</v>
      </c>
      <c r="B1023" t="s">
        <v>113</v>
      </c>
      <c r="C1023" t="s">
        <v>60</v>
      </c>
      <c r="D1023" t="s">
        <v>61</v>
      </c>
      <c r="F1023" s="24"/>
      <c r="G1023" s="24">
        <v>7500</v>
      </c>
      <c r="H1023" t="s">
        <v>708</v>
      </c>
      <c r="I1023" s="74">
        <f t="shared" si="15"/>
        <v>0</v>
      </c>
    </row>
    <row r="1024" spans="1:9" ht="15" customHeight="1" x14ac:dyDescent="0.25">
      <c r="A1024" s="57">
        <v>45907</v>
      </c>
      <c r="B1024" t="s">
        <v>194</v>
      </c>
      <c r="C1024" t="s">
        <v>157</v>
      </c>
      <c r="D1024" t="s">
        <v>90</v>
      </c>
      <c r="F1024" s="24">
        <v>11000</v>
      </c>
      <c r="G1024" s="24"/>
      <c r="H1024" t="s">
        <v>709</v>
      </c>
      <c r="I1024" s="74">
        <f t="shared" si="15"/>
        <v>0</v>
      </c>
    </row>
    <row r="1025" spans="1:9" ht="15" customHeight="1" x14ac:dyDescent="0.25">
      <c r="A1025" s="57">
        <v>45907</v>
      </c>
      <c r="B1025" t="s">
        <v>194</v>
      </c>
      <c r="C1025" t="s">
        <v>60</v>
      </c>
      <c r="D1025" t="s">
        <v>64</v>
      </c>
      <c r="F1025" s="24"/>
      <c r="G1025" s="24">
        <v>11000</v>
      </c>
      <c r="H1025" t="s">
        <v>709</v>
      </c>
      <c r="I1025" s="74">
        <f t="shared" si="15"/>
        <v>0</v>
      </c>
    </row>
    <row r="1026" spans="1:9" ht="15" customHeight="1" x14ac:dyDescent="0.25">
      <c r="A1026" s="57">
        <v>45908</v>
      </c>
      <c r="B1026" t="s">
        <v>114</v>
      </c>
      <c r="C1026" t="s">
        <v>157</v>
      </c>
      <c r="D1026" t="s">
        <v>88</v>
      </c>
      <c r="E1026" t="s">
        <v>190</v>
      </c>
      <c r="F1026" s="24">
        <v>24000</v>
      </c>
      <c r="G1026" s="24"/>
      <c r="H1026" t="s">
        <v>710</v>
      </c>
      <c r="I1026" s="74">
        <f t="shared" ref="I1026:I1089" si="16">SUMIF($H:$H,H1026,$F:$F)-SUMIF($H:$H,H1026,$G:$G)</f>
        <v>0</v>
      </c>
    </row>
    <row r="1027" spans="1:9" ht="15" customHeight="1" x14ac:dyDescent="0.25">
      <c r="A1027" s="57">
        <v>45908</v>
      </c>
      <c r="B1027" t="s">
        <v>114</v>
      </c>
      <c r="C1027" t="s">
        <v>157</v>
      </c>
      <c r="D1027" t="s">
        <v>90</v>
      </c>
      <c r="F1027" s="24"/>
      <c r="G1027" s="24">
        <v>24000</v>
      </c>
      <c r="H1027" t="s">
        <v>710</v>
      </c>
      <c r="I1027" s="74">
        <f t="shared" si="16"/>
        <v>0</v>
      </c>
    </row>
    <row r="1028" spans="1:9" ht="15" customHeight="1" x14ac:dyDescent="0.25">
      <c r="A1028" s="57">
        <v>45909</v>
      </c>
      <c r="B1028" t="s">
        <v>118</v>
      </c>
      <c r="C1028" t="s">
        <v>160</v>
      </c>
      <c r="D1028" t="s">
        <v>77</v>
      </c>
      <c r="F1028" s="24">
        <v>6000</v>
      </c>
      <c r="G1028" s="24"/>
      <c r="H1028" t="s">
        <v>711</v>
      </c>
      <c r="I1028" s="74">
        <f t="shared" si="16"/>
        <v>0</v>
      </c>
    </row>
    <row r="1029" spans="1:9" ht="15" customHeight="1" x14ac:dyDescent="0.25">
      <c r="A1029" s="57">
        <v>45909</v>
      </c>
      <c r="B1029" t="s">
        <v>118</v>
      </c>
      <c r="C1029" t="s">
        <v>157</v>
      </c>
      <c r="D1029" t="s">
        <v>88</v>
      </c>
      <c r="E1029" t="s">
        <v>188</v>
      </c>
      <c r="F1029" s="24"/>
      <c r="G1029" s="24">
        <v>6000</v>
      </c>
      <c r="H1029" t="s">
        <v>711</v>
      </c>
      <c r="I1029" s="74">
        <f t="shared" si="16"/>
        <v>0</v>
      </c>
    </row>
    <row r="1030" spans="1:9" ht="15" customHeight="1" x14ac:dyDescent="0.25">
      <c r="A1030" s="57">
        <v>45910</v>
      </c>
      <c r="B1030" t="s">
        <v>119</v>
      </c>
      <c r="C1030" t="s">
        <v>160</v>
      </c>
      <c r="D1030" t="s">
        <v>72</v>
      </c>
      <c r="F1030" s="24">
        <v>7000</v>
      </c>
      <c r="G1030" s="24"/>
      <c r="H1030" t="s">
        <v>712</v>
      </c>
      <c r="I1030" s="74">
        <f t="shared" si="16"/>
        <v>0</v>
      </c>
    </row>
    <row r="1031" spans="1:9" ht="15" customHeight="1" x14ac:dyDescent="0.25">
      <c r="A1031" s="57">
        <v>45910</v>
      </c>
      <c r="B1031" t="s">
        <v>119</v>
      </c>
      <c r="C1031" t="s">
        <v>157</v>
      </c>
      <c r="D1031" t="s">
        <v>88</v>
      </c>
      <c r="E1031" t="s">
        <v>188</v>
      </c>
      <c r="F1031" s="24"/>
      <c r="G1031" s="24">
        <v>7000</v>
      </c>
      <c r="H1031" t="s">
        <v>712</v>
      </c>
      <c r="I1031" s="74">
        <f t="shared" si="16"/>
        <v>0</v>
      </c>
    </row>
    <row r="1032" spans="1:9" ht="15" customHeight="1" x14ac:dyDescent="0.25">
      <c r="A1032" s="57">
        <v>45911</v>
      </c>
      <c r="B1032" t="s">
        <v>120</v>
      </c>
      <c r="C1032" t="s">
        <v>160</v>
      </c>
      <c r="D1032" t="s">
        <v>81</v>
      </c>
      <c r="F1032" s="24">
        <v>2000</v>
      </c>
      <c r="G1032" s="24"/>
      <c r="H1032" t="s">
        <v>713</v>
      </c>
      <c r="I1032" s="74">
        <f t="shared" si="16"/>
        <v>0</v>
      </c>
    </row>
    <row r="1033" spans="1:9" ht="15" customHeight="1" x14ac:dyDescent="0.25">
      <c r="A1033" s="57">
        <v>45911</v>
      </c>
      <c r="B1033" t="s">
        <v>120</v>
      </c>
      <c r="C1033" t="s">
        <v>157</v>
      </c>
      <c r="D1033" t="s">
        <v>88</v>
      </c>
      <c r="E1033" t="s">
        <v>188</v>
      </c>
      <c r="F1033" s="24"/>
      <c r="G1033" s="24">
        <v>2000</v>
      </c>
      <c r="H1033" t="s">
        <v>713</v>
      </c>
      <c r="I1033" s="74">
        <f t="shared" si="16"/>
        <v>0</v>
      </c>
    </row>
    <row r="1034" spans="1:9" ht="15" customHeight="1" x14ac:dyDescent="0.25">
      <c r="A1034" s="57">
        <v>45912</v>
      </c>
      <c r="B1034" t="s">
        <v>121</v>
      </c>
      <c r="C1034" t="s">
        <v>160</v>
      </c>
      <c r="D1034" t="s">
        <v>71</v>
      </c>
      <c r="F1034" s="24">
        <v>500</v>
      </c>
      <c r="G1034" s="24"/>
      <c r="H1034" t="s">
        <v>714</v>
      </c>
      <c r="I1034" s="74">
        <f t="shared" si="16"/>
        <v>0</v>
      </c>
    </row>
    <row r="1035" spans="1:9" ht="15" customHeight="1" x14ac:dyDescent="0.25">
      <c r="A1035" s="57">
        <v>45912</v>
      </c>
      <c r="B1035" t="s">
        <v>121</v>
      </c>
      <c r="C1035" t="s">
        <v>157</v>
      </c>
      <c r="D1035" t="s">
        <v>88</v>
      </c>
      <c r="E1035" t="s">
        <v>188</v>
      </c>
      <c r="F1035" s="24"/>
      <c r="G1035" s="24">
        <v>500</v>
      </c>
      <c r="H1035" t="s">
        <v>714</v>
      </c>
      <c r="I1035" s="74">
        <f t="shared" si="16"/>
        <v>0</v>
      </c>
    </row>
    <row r="1036" spans="1:9" ht="15" customHeight="1" x14ac:dyDescent="0.25">
      <c r="A1036" s="57">
        <v>45913</v>
      </c>
      <c r="B1036" t="s">
        <v>127</v>
      </c>
      <c r="C1036" t="s">
        <v>160</v>
      </c>
      <c r="D1036" t="s">
        <v>78</v>
      </c>
      <c r="F1036" s="24">
        <v>1000</v>
      </c>
      <c r="G1036" s="24"/>
      <c r="H1036" t="s">
        <v>715</v>
      </c>
      <c r="I1036" s="74">
        <f t="shared" si="16"/>
        <v>0</v>
      </c>
    </row>
    <row r="1037" spans="1:9" ht="15" customHeight="1" x14ac:dyDescent="0.25">
      <c r="A1037" s="57">
        <v>45913</v>
      </c>
      <c r="B1037" t="s">
        <v>127</v>
      </c>
      <c r="C1037" t="s">
        <v>157</v>
      </c>
      <c r="D1037" t="s">
        <v>88</v>
      </c>
      <c r="E1037" t="s">
        <v>188</v>
      </c>
      <c r="F1037" s="24"/>
      <c r="G1037" s="24">
        <v>1000</v>
      </c>
      <c r="H1037" t="s">
        <v>715</v>
      </c>
      <c r="I1037" s="74">
        <f t="shared" si="16"/>
        <v>0</v>
      </c>
    </row>
    <row r="1038" spans="1:9" ht="15" customHeight="1" x14ac:dyDescent="0.25">
      <c r="A1038" s="57">
        <v>45914</v>
      </c>
      <c r="B1038" t="s">
        <v>128</v>
      </c>
      <c r="C1038" t="s">
        <v>160</v>
      </c>
      <c r="D1038" t="s">
        <v>75</v>
      </c>
      <c r="F1038" s="24">
        <v>1500</v>
      </c>
      <c r="G1038" s="24"/>
      <c r="H1038" t="s">
        <v>716</v>
      </c>
      <c r="I1038" s="74">
        <f t="shared" si="16"/>
        <v>0</v>
      </c>
    </row>
    <row r="1039" spans="1:9" ht="15" customHeight="1" x14ac:dyDescent="0.25">
      <c r="A1039" s="57">
        <v>45914</v>
      </c>
      <c r="B1039" t="s">
        <v>128</v>
      </c>
      <c r="C1039" t="s">
        <v>157</v>
      </c>
      <c r="D1039" t="s">
        <v>88</v>
      </c>
      <c r="E1039" t="s">
        <v>188</v>
      </c>
      <c r="F1039" s="24"/>
      <c r="G1039" s="24">
        <v>1500</v>
      </c>
      <c r="H1039" t="s">
        <v>716</v>
      </c>
      <c r="I1039" s="74">
        <f t="shared" si="16"/>
        <v>0</v>
      </c>
    </row>
    <row r="1040" spans="1:9" ht="15" customHeight="1" x14ac:dyDescent="0.25">
      <c r="A1040" s="57">
        <v>45916</v>
      </c>
      <c r="B1040" t="s">
        <v>136</v>
      </c>
      <c r="C1040" t="s">
        <v>157</v>
      </c>
      <c r="D1040" t="s">
        <v>98</v>
      </c>
      <c r="F1040" s="24">
        <v>4500</v>
      </c>
      <c r="G1040" s="24"/>
      <c r="H1040" t="s">
        <v>717</v>
      </c>
      <c r="I1040" s="74">
        <f t="shared" si="16"/>
        <v>0</v>
      </c>
    </row>
    <row r="1041" spans="1:9" ht="15" customHeight="1" x14ac:dyDescent="0.25">
      <c r="A1041" s="57">
        <v>45916</v>
      </c>
      <c r="B1041" t="s">
        <v>136</v>
      </c>
      <c r="C1041" t="s">
        <v>157</v>
      </c>
      <c r="D1041" t="s">
        <v>88</v>
      </c>
      <c r="E1041" t="s">
        <v>242</v>
      </c>
      <c r="F1041" s="24"/>
      <c r="G1041" s="24">
        <v>4500</v>
      </c>
      <c r="H1041" t="s">
        <v>717</v>
      </c>
      <c r="I1041" s="74">
        <f t="shared" si="16"/>
        <v>0</v>
      </c>
    </row>
    <row r="1042" spans="1:9" ht="15" customHeight="1" x14ac:dyDescent="0.25">
      <c r="A1042" s="57">
        <v>45918</v>
      </c>
      <c r="B1042" t="s">
        <v>133</v>
      </c>
      <c r="C1042" t="s">
        <v>157</v>
      </c>
      <c r="D1042" t="s">
        <v>88</v>
      </c>
      <c r="E1042" t="s">
        <v>243</v>
      </c>
      <c r="F1042" s="24">
        <v>2000</v>
      </c>
      <c r="G1042" s="24"/>
      <c r="H1042" t="s">
        <v>718</v>
      </c>
      <c r="I1042" s="74">
        <f t="shared" si="16"/>
        <v>0</v>
      </c>
    </row>
    <row r="1043" spans="1:9" ht="15" customHeight="1" x14ac:dyDescent="0.25">
      <c r="A1043" s="57">
        <v>45918</v>
      </c>
      <c r="B1043" t="s">
        <v>133</v>
      </c>
      <c r="C1043" t="s">
        <v>60</v>
      </c>
      <c r="D1043" t="s">
        <v>62</v>
      </c>
      <c r="F1043" s="24"/>
      <c r="G1043" s="24">
        <v>2000</v>
      </c>
      <c r="H1043" t="s">
        <v>718</v>
      </c>
      <c r="I1043" s="74">
        <f t="shared" si="16"/>
        <v>0</v>
      </c>
    </row>
    <row r="1044" spans="1:9" ht="15" customHeight="1" x14ac:dyDescent="0.25">
      <c r="A1044" s="57">
        <v>45926</v>
      </c>
      <c r="B1044" t="s">
        <v>204</v>
      </c>
      <c r="C1044" t="s">
        <v>160</v>
      </c>
      <c r="D1044" t="s">
        <v>67</v>
      </c>
      <c r="F1044" s="24">
        <v>20000</v>
      </c>
      <c r="G1044" s="24"/>
      <c r="H1044" t="s">
        <v>719</v>
      </c>
      <c r="I1044" s="74">
        <f t="shared" si="16"/>
        <v>0</v>
      </c>
    </row>
    <row r="1045" spans="1:9" ht="15" customHeight="1" x14ac:dyDescent="0.25">
      <c r="A1045" s="57">
        <v>45926</v>
      </c>
      <c r="B1045" t="s">
        <v>204</v>
      </c>
      <c r="C1045" t="s">
        <v>157</v>
      </c>
      <c r="D1045" t="s">
        <v>92</v>
      </c>
      <c r="F1045" s="24"/>
      <c r="G1045" s="24">
        <v>20000</v>
      </c>
      <c r="H1045" t="s">
        <v>719</v>
      </c>
      <c r="I1045" s="74">
        <f t="shared" si="16"/>
        <v>0</v>
      </c>
    </row>
    <row r="1046" spans="1:9" ht="15" customHeight="1" x14ac:dyDescent="0.25">
      <c r="A1046" s="57">
        <v>45927</v>
      </c>
      <c r="B1046" t="s">
        <v>207</v>
      </c>
      <c r="C1046" t="s">
        <v>160</v>
      </c>
      <c r="D1046" t="s">
        <v>73</v>
      </c>
      <c r="F1046" s="24">
        <v>1000</v>
      </c>
      <c r="G1046" s="24"/>
      <c r="H1046" t="s">
        <v>720</v>
      </c>
      <c r="I1046" s="74">
        <f t="shared" si="16"/>
        <v>0</v>
      </c>
    </row>
    <row r="1047" spans="1:9" ht="15" customHeight="1" x14ac:dyDescent="0.25">
      <c r="A1047" s="57">
        <v>45927</v>
      </c>
      <c r="B1047" t="s">
        <v>207</v>
      </c>
      <c r="C1047" t="s">
        <v>157</v>
      </c>
      <c r="D1047" t="s">
        <v>100</v>
      </c>
      <c r="F1047" s="24"/>
      <c r="G1047" s="24">
        <v>1000</v>
      </c>
      <c r="H1047" t="s">
        <v>720</v>
      </c>
      <c r="I1047" s="74">
        <f t="shared" si="16"/>
        <v>0</v>
      </c>
    </row>
    <row r="1048" spans="1:9" ht="15" customHeight="1" x14ac:dyDescent="0.25">
      <c r="A1048" s="57">
        <v>45932</v>
      </c>
      <c r="B1048" t="s">
        <v>181</v>
      </c>
      <c r="C1048" t="s">
        <v>157</v>
      </c>
      <c r="D1048" t="s">
        <v>90</v>
      </c>
      <c r="F1048" s="24">
        <v>18000</v>
      </c>
      <c r="G1048" s="24"/>
      <c r="H1048" t="s">
        <v>721</v>
      </c>
      <c r="I1048" s="74">
        <f t="shared" si="16"/>
        <v>0</v>
      </c>
    </row>
    <row r="1049" spans="1:9" ht="15" customHeight="1" x14ac:dyDescent="0.25">
      <c r="A1049" s="57">
        <v>45932</v>
      </c>
      <c r="B1049" t="s">
        <v>181</v>
      </c>
      <c r="C1049" t="s">
        <v>60</v>
      </c>
      <c r="D1049" t="s">
        <v>63</v>
      </c>
      <c r="F1049" s="24"/>
      <c r="G1049" s="24">
        <v>18000</v>
      </c>
      <c r="H1049" t="s">
        <v>721</v>
      </c>
      <c r="I1049" s="74">
        <f t="shared" si="16"/>
        <v>0</v>
      </c>
    </row>
    <row r="1050" spans="1:9" ht="15" customHeight="1" x14ac:dyDescent="0.25">
      <c r="A1050" s="57">
        <v>45933</v>
      </c>
      <c r="B1050" t="s">
        <v>184</v>
      </c>
      <c r="C1050" t="s">
        <v>157</v>
      </c>
      <c r="D1050" t="s">
        <v>92</v>
      </c>
      <c r="F1050" s="24">
        <v>16500</v>
      </c>
      <c r="G1050" s="24"/>
      <c r="H1050" t="s">
        <v>722</v>
      </c>
      <c r="I1050" s="74">
        <f t="shared" si="16"/>
        <v>0</v>
      </c>
    </row>
    <row r="1051" spans="1:9" ht="15" customHeight="1" x14ac:dyDescent="0.25">
      <c r="A1051" s="57">
        <v>45933</v>
      </c>
      <c r="B1051" t="s">
        <v>184</v>
      </c>
      <c r="C1051" t="s">
        <v>158</v>
      </c>
      <c r="D1051" t="s">
        <v>89</v>
      </c>
      <c r="F1051" s="24"/>
      <c r="G1051" s="24">
        <v>16500</v>
      </c>
      <c r="H1051" t="s">
        <v>722</v>
      </c>
      <c r="I1051" s="74">
        <f t="shared" si="16"/>
        <v>0</v>
      </c>
    </row>
    <row r="1052" spans="1:9" ht="15" customHeight="1" x14ac:dyDescent="0.25">
      <c r="A1052" s="57">
        <v>45934</v>
      </c>
      <c r="B1052" t="s">
        <v>122</v>
      </c>
      <c r="C1052" t="s">
        <v>158</v>
      </c>
      <c r="D1052" t="s">
        <v>89</v>
      </c>
      <c r="F1052" s="24">
        <v>0</v>
      </c>
      <c r="G1052" s="24"/>
      <c r="H1052" t="s">
        <v>723</v>
      </c>
      <c r="I1052" s="74">
        <f t="shared" si="16"/>
        <v>0</v>
      </c>
    </row>
    <row r="1053" spans="1:9" ht="15" customHeight="1" x14ac:dyDescent="0.25">
      <c r="A1053" s="57">
        <v>45934</v>
      </c>
      <c r="B1053" t="s">
        <v>122</v>
      </c>
      <c r="C1053" t="s">
        <v>157</v>
      </c>
      <c r="D1053" t="s">
        <v>88</v>
      </c>
      <c r="E1053" t="s">
        <v>188</v>
      </c>
      <c r="F1053" s="24"/>
      <c r="G1053" s="24">
        <v>0</v>
      </c>
      <c r="H1053" t="s">
        <v>723</v>
      </c>
      <c r="I1053" s="74">
        <f t="shared" si="16"/>
        <v>0</v>
      </c>
    </row>
    <row r="1054" spans="1:9" ht="15" customHeight="1" x14ac:dyDescent="0.25">
      <c r="A1054" s="57">
        <v>45935</v>
      </c>
      <c r="B1054" t="s">
        <v>115</v>
      </c>
      <c r="C1054" t="s">
        <v>157</v>
      </c>
      <c r="D1054" t="s">
        <v>88</v>
      </c>
      <c r="E1054" t="s">
        <v>190</v>
      </c>
      <c r="F1054" s="24">
        <v>15000</v>
      </c>
      <c r="G1054" s="24"/>
      <c r="H1054" t="s">
        <v>724</v>
      </c>
      <c r="I1054" s="74">
        <f t="shared" si="16"/>
        <v>0</v>
      </c>
    </row>
    <row r="1055" spans="1:9" ht="15" customHeight="1" x14ac:dyDescent="0.25">
      <c r="A1055" s="57">
        <v>45935</v>
      </c>
      <c r="B1055" t="s">
        <v>115</v>
      </c>
      <c r="C1055" t="s">
        <v>60</v>
      </c>
      <c r="D1055" t="s">
        <v>63</v>
      </c>
      <c r="F1055" s="24"/>
      <c r="G1055" s="24">
        <v>15000</v>
      </c>
      <c r="H1055" t="s">
        <v>724</v>
      </c>
      <c r="I1055" s="74">
        <f t="shared" si="16"/>
        <v>0</v>
      </c>
    </row>
    <row r="1056" spans="1:9" ht="15" customHeight="1" x14ac:dyDescent="0.25">
      <c r="A1056" s="57">
        <v>45936</v>
      </c>
      <c r="B1056" t="s">
        <v>113</v>
      </c>
      <c r="C1056" t="s">
        <v>157</v>
      </c>
      <c r="D1056" t="s">
        <v>88</v>
      </c>
      <c r="E1056" t="s">
        <v>190</v>
      </c>
      <c r="F1056" s="24">
        <v>6000</v>
      </c>
      <c r="G1056" s="24"/>
      <c r="H1056" t="s">
        <v>725</v>
      </c>
      <c r="I1056" s="74">
        <f t="shared" si="16"/>
        <v>0</v>
      </c>
    </row>
    <row r="1057" spans="1:9" ht="15" customHeight="1" x14ac:dyDescent="0.25">
      <c r="A1057" s="57">
        <v>45936</v>
      </c>
      <c r="B1057" t="s">
        <v>113</v>
      </c>
      <c r="C1057" t="s">
        <v>60</v>
      </c>
      <c r="D1057" t="s">
        <v>61</v>
      </c>
      <c r="F1057" s="24"/>
      <c r="G1057" s="24">
        <v>6000</v>
      </c>
      <c r="H1057" t="s">
        <v>725</v>
      </c>
      <c r="I1057" s="74">
        <f t="shared" si="16"/>
        <v>0</v>
      </c>
    </row>
    <row r="1058" spans="1:9" ht="15" customHeight="1" x14ac:dyDescent="0.25">
      <c r="A1058" s="57">
        <v>45937</v>
      </c>
      <c r="B1058" t="s">
        <v>194</v>
      </c>
      <c r="C1058" t="s">
        <v>157</v>
      </c>
      <c r="D1058" t="s">
        <v>90</v>
      </c>
      <c r="F1058" s="24">
        <v>6000</v>
      </c>
      <c r="G1058" s="24"/>
      <c r="H1058" t="s">
        <v>726</v>
      </c>
      <c r="I1058" s="74">
        <f t="shared" si="16"/>
        <v>0</v>
      </c>
    </row>
    <row r="1059" spans="1:9" ht="15" customHeight="1" x14ac:dyDescent="0.25">
      <c r="A1059" s="57">
        <v>45937</v>
      </c>
      <c r="B1059" t="s">
        <v>194</v>
      </c>
      <c r="C1059" t="s">
        <v>60</v>
      </c>
      <c r="D1059" t="s">
        <v>64</v>
      </c>
      <c r="F1059" s="24"/>
      <c r="G1059" s="24">
        <v>6000</v>
      </c>
      <c r="H1059" t="s">
        <v>726</v>
      </c>
      <c r="I1059" s="74">
        <f t="shared" si="16"/>
        <v>0</v>
      </c>
    </row>
    <row r="1060" spans="1:9" ht="15" customHeight="1" x14ac:dyDescent="0.25">
      <c r="A1060" s="57">
        <v>45938</v>
      </c>
      <c r="B1060" t="s">
        <v>114</v>
      </c>
      <c r="C1060" t="s">
        <v>157</v>
      </c>
      <c r="D1060" t="s">
        <v>88</v>
      </c>
      <c r="E1060" t="s">
        <v>190</v>
      </c>
      <c r="F1060" s="24">
        <v>29000</v>
      </c>
      <c r="G1060" s="24"/>
      <c r="H1060" t="s">
        <v>727</v>
      </c>
      <c r="I1060" s="74">
        <f t="shared" si="16"/>
        <v>0</v>
      </c>
    </row>
    <row r="1061" spans="1:9" ht="15" customHeight="1" x14ac:dyDescent="0.25">
      <c r="A1061" s="57">
        <v>45938</v>
      </c>
      <c r="B1061" t="s">
        <v>114</v>
      </c>
      <c r="C1061" t="s">
        <v>157</v>
      </c>
      <c r="D1061" t="s">
        <v>90</v>
      </c>
      <c r="F1061" s="24"/>
      <c r="G1061" s="24">
        <v>29000</v>
      </c>
      <c r="H1061" t="s">
        <v>727</v>
      </c>
      <c r="I1061" s="74">
        <f t="shared" si="16"/>
        <v>0</v>
      </c>
    </row>
    <row r="1062" spans="1:9" ht="15" customHeight="1" x14ac:dyDescent="0.25">
      <c r="A1062" s="57">
        <v>45939</v>
      </c>
      <c r="B1062" t="s">
        <v>118</v>
      </c>
      <c r="C1062" t="s">
        <v>160</v>
      </c>
      <c r="D1062" t="s">
        <v>77</v>
      </c>
      <c r="F1062" s="24">
        <v>5500</v>
      </c>
      <c r="G1062" s="24"/>
      <c r="H1062" t="s">
        <v>728</v>
      </c>
      <c r="I1062" s="74">
        <f t="shared" si="16"/>
        <v>0</v>
      </c>
    </row>
    <row r="1063" spans="1:9" ht="15" customHeight="1" x14ac:dyDescent="0.25">
      <c r="A1063" s="57">
        <v>45939</v>
      </c>
      <c r="B1063" t="s">
        <v>118</v>
      </c>
      <c r="C1063" t="s">
        <v>157</v>
      </c>
      <c r="D1063" t="s">
        <v>88</v>
      </c>
      <c r="E1063" t="s">
        <v>188</v>
      </c>
      <c r="F1063" s="24"/>
      <c r="G1063" s="24">
        <v>5500</v>
      </c>
      <c r="H1063" t="s">
        <v>728</v>
      </c>
      <c r="I1063" s="74">
        <f t="shared" si="16"/>
        <v>0</v>
      </c>
    </row>
    <row r="1064" spans="1:9" ht="15" customHeight="1" x14ac:dyDescent="0.25">
      <c r="A1064" s="57">
        <v>45940</v>
      </c>
      <c r="B1064" t="s">
        <v>119</v>
      </c>
      <c r="C1064" t="s">
        <v>160</v>
      </c>
      <c r="D1064" t="s">
        <v>72</v>
      </c>
      <c r="F1064" s="24">
        <v>5500</v>
      </c>
      <c r="G1064" s="24"/>
      <c r="H1064" t="s">
        <v>729</v>
      </c>
      <c r="I1064" s="74">
        <f t="shared" si="16"/>
        <v>0</v>
      </c>
    </row>
    <row r="1065" spans="1:9" ht="15" customHeight="1" x14ac:dyDescent="0.25">
      <c r="A1065" s="57">
        <v>45940</v>
      </c>
      <c r="B1065" t="s">
        <v>119</v>
      </c>
      <c r="C1065" t="s">
        <v>157</v>
      </c>
      <c r="D1065" t="s">
        <v>88</v>
      </c>
      <c r="E1065" t="s">
        <v>188</v>
      </c>
      <c r="F1065" s="24"/>
      <c r="G1065" s="24">
        <v>5500</v>
      </c>
      <c r="H1065" t="s">
        <v>729</v>
      </c>
      <c r="I1065" s="74">
        <f t="shared" si="16"/>
        <v>0</v>
      </c>
    </row>
    <row r="1066" spans="1:9" ht="15" customHeight="1" x14ac:dyDescent="0.25">
      <c r="A1066" s="57">
        <v>45941</v>
      </c>
      <c r="B1066" t="s">
        <v>120</v>
      </c>
      <c r="C1066" t="s">
        <v>160</v>
      </c>
      <c r="D1066" t="s">
        <v>81</v>
      </c>
      <c r="F1066" s="24">
        <v>2500</v>
      </c>
      <c r="G1066" s="24"/>
      <c r="H1066" t="s">
        <v>730</v>
      </c>
      <c r="I1066" s="74">
        <f t="shared" si="16"/>
        <v>0</v>
      </c>
    </row>
    <row r="1067" spans="1:9" ht="15" customHeight="1" x14ac:dyDescent="0.25">
      <c r="A1067" s="57">
        <v>45941</v>
      </c>
      <c r="B1067" t="s">
        <v>120</v>
      </c>
      <c r="C1067" t="s">
        <v>157</v>
      </c>
      <c r="D1067" t="s">
        <v>88</v>
      </c>
      <c r="E1067" t="s">
        <v>188</v>
      </c>
      <c r="F1067" s="24"/>
      <c r="G1067" s="24">
        <v>2500</v>
      </c>
      <c r="H1067" t="s">
        <v>730</v>
      </c>
      <c r="I1067" s="74">
        <f t="shared" si="16"/>
        <v>0</v>
      </c>
    </row>
    <row r="1068" spans="1:9" ht="15" customHeight="1" x14ac:dyDescent="0.25">
      <c r="A1068" s="57">
        <v>45942</v>
      </c>
      <c r="B1068" t="s">
        <v>121</v>
      </c>
      <c r="C1068" t="s">
        <v>160</v>
      </c>
      <c r="D1068" t="s">
        <v>71</v>
      </c>
      <c r="F1068" s="24">
        <v>1500</v>
      </c>
      <c r="G1068" s="24"/>
      <c r="H1068" t="s">
        <v>731</v>
      </c>
      <c r="I1068" s="74">
        <f t="shared" si="16"/>
        <v>0</v>
      </c>
    </row>
    <row r="1069" spans="1:9" ht="15" customHeight="1" x14ac:dyDescent="0.25">
      <c r="A1069" s="57">
        <v>45942</v>
      </c>
      <c r="B1069" t="s">
        <v>121</v>
      </c>
      <c r="C1069" t="s">
        <v>157</v>
      </c>
      <c r="D1069" t="s">
        <v>88</v>
      </c>
      <c r="E1069" t="s">
        <v>188</v>
      </c>
      <c r="F1069" s="24"/>
      <c r="G1069" s="24">
        <v>1500</v>
      </c>
      <c r="H1069" t="s">
        <v>731</v>
      </c>
      <c r="I1069" s="74">
        <f t="shared" si="16"/>
        <v>0</v>
      </c>
    </row>
    <row r="1070" spans="1:9" ht="15" customHeight="1" x14ac:dyDescent="0.25">
      <c r="A1070" s="57">
        <v>45943</v>
      </c>
      <c r="B1070" t="s">
        <v>123</v>
      </c>
      <c r="C1070" t="s">
        <v>160</v>
      </c>
      <c r="D1070" t="s">
        <v>80</v>
      </c>
      <c r="F1070" s="24">
        <v>500</v>
      </c>
      <c r="G1070" s="24"/>
      <c r="H1070" t="s">
        <v>732</v>
      </c>
      <c r="I1070" s="74">
        <f t="shared" si="16"/>
        <v>0</v>
      </c>
    </row>
    <row r="1071" spans="1:9" ht="15" customHeight="1" x14ac:dyDescent="0.25">
      <c r="A1071" s="57">
        <v>45943</v>
      </c>
      <c r="B1071" t="s">
        <v>123</v>
      </c>
      <c r="C1071" t="s">
        <v>157</v>
      </c>
      <c r="D1071" t="s">
        <v>88</v>
      </c>
      <c r="E1071" t="s">
        <v>188</v>
      </c>
      <c r="F1071" s="24"/>
      <c r="G1071" s="24">
        <v>500</v>
      </c>
      <c r="H1071" t="s">
        <v>732</v>
      </c>
      <c r="I1071" s="74">
        <f t="shared" si="16"/>
        <v>0</v>
      </c>
    </row>
    <row r="1072" spans="1:9" ht="15" customHeight="1" x14ac:dyDescent="0.25">
      <c r="A1072" s="57">
        <v>45944</v>
      </c>
      <c r="B1072" t="s">
        <v>128</v>
      </c>
      <c r="C1072" t="s">
        <v>160</v>
      </c>
      <c r="D1072" t="s">
        <v>75</v>
      </c>
      <c r="F1072" s="24">
        <v>500</v>
      </c>
      <c r="G1072" s="24"/>
      <c r="H1072" t="s">
        <v>733</v>
      </c>
      <c r="I1072" s="74">
        <f t="shared" si="16"/>
        <v>0</v>
      </c>
    </row>
    <row r="1073" spans="1:9" ht="15" customHeight="1" x14ac:dyDescent="0.25">
      <c r="A1073" s="57">
        <v>45944</v>
      </c>
      <c r="B1073" t="s">
        <v>128</v>
      </c>
      <c r="C1073" t="s">
        <v>157</v>
      </c>
      <c r="D1073" t="s">
        <v>88</v>
      </c>
      <c r="E1073" t="s">
        <v>188</v>
      </c>
      <c r="F1073" s="24"/>
      <c r="G1073" s="24">
        <v>500</v>
      </c>
      <c r="H1073" t="s">
        <v>733</v>
      </c>
      <c r="I1073" s="74">
        <f t="shared" si="16"/>
        <v>0</v>
      </c>
    </row>
    <row r="1074" spans="1:9" ht="15" customHeight="1" x14ac:dyDescent="0.25">
      <c r="A1074" s="57">
        <v>45956</v>
      </c>
      <c r="B1074" t="s">
        <v>204</v>
      </c>
      <c r="C1074" t="s">
        <v>160</v>
      </c>
      <c r="D1074" t="s">
        <v>67</v>
      </c>
      <c r="F1074" s="24">
        <v>12500</v>
      </c>
      <c r="G1074" s="24"/>
      <c r="H1074" t="s">
        <v>734</v>
      </c>
      <c r="I1074" s="74">
        <f t="shared" si="16"/>
        <v>0</v>
      </c>
    </row>
    <row r="1075" spans="1:9" ht="15" customHeight="1" x14ac:dyDescent="0.25">
      <c r="A1075" s="57">
        <v>45956</v>
      </c>
      <c r="B1075" t="s">
        <v>204</v>
      </c>
      <c r="C1075" t="s">
        <v>157</v>
      </c>
      <c r="D1075" t="s">
        <v>92</v>
      </c>
      <c r="F1075" s="24"/>
      <c r="G1075" s="24">
        <v>12500</v>
      </c>
      <c r="H1075" t="s">
        <v>734</v>
      </c>
      <c r="I1075" s="74">
        <f t="shared" si="16"/>
        <v>0</v>
      </c>
    </row>
    <row r="1076" spans="1:9" ht="15" customHeight="1" x14ac:dyDescent="0.25">
      <c r="A1076" s="57">
        <v>45957</v>
      </c>
      <c r="B1076" t="s">
        <v>207</v>
      </c>
      <c r="C1076" t="s">
        <v>160</v>
      </c>
      <c r="D1076" t="s">
        <v>73</v>
      </c>
      <c r="F1076" s="24">
        <v>1100</v>
      </c>
      <c r="G1076" s="24"/>
      <c r="H1076" t="s">
        <v>735</v>
      </c>
      <c r="I1076" s="74">
        <f t="shared" si="16"/>
        <v>0</v>
      </c>
    </row>
    <row r="1077" spans="1:9" ht="15" customHeight="1" x14ac:dyDescent="0.25">
      <c r="A1077" s="57">
        <v>45957</v>
      </c>
      <c r="B1077" t="s">
        <v>207</v>
      </c>
      <c r="C1077" t="s">
        <v>157</v>
      </c>
      <c r="D1077" t="s">
        <v>100</v>
      </c>
      <c r="F1077" s="24"/>
      <c r="G1077" s="24">
        <v>1100</v>
      </c>
      <c r="H1077" t="s">
        <v>735</v>
      </c>
      <c r="I1077" s="74">
        <f t="shared" si="16"/>
        <v>0</v>
      </c>
    </row>
    <row r="1078" spans="1:9" ht="15" customHeight="1" x14ac:dyDescent="0.25">
      <c r="A1078" s="57">
        <v>45963</v>
      </c>
      <c r="B1078" t="s">
        <v>181</v>
      </c>
      <c r="C1078" t="s">
        <v>157</v>
      </c>
      <c r="D1078" t="s">
        <v>90</v>
      </c>
      <c r="F1078" s="24">
        <v>28000</v>
      </c>
      <c r="G1078" s="24"/>
      <c r="H1078" t="s">
        <v>736</v>
      </c>
      <c r="I1078" s="74">
        <f t="shared" si="16"/>
        <v>0</v>
      </c>
    </row>
    <row r="1079" spans="1:9" ht="15" customHeight="1" x14ac:dyDescent="0.25">
      <c r="A1079" s="57">
        <v>45963</v>
      </c>
      <c r="B1079" t="s">
        <v>181</v>
      </c>
      <c r="C1079" t="s">
        <v>60</v>
      </c>
      <c r="D1079" t="s">
        <v>63</v>
      </c>
      <c r="F1079" s="24"/>
      <c r="G1079" s="24">
        <v>28000</v>
      </c>
      <c r="H1079" t="s">
        <v>736</v>
      </c>
      <c r="I1079" s="74">
        <f t="shared" si="16"/>
        <v>0</v>
      </c>
    </row>
    <row r="1080" spans="1:9" ht="15" customHeight="1" x14ac:dyDescent="0.25">
      <c r="A1080" s="57">
        <v>45964</v>
      </c>
      <c r="B1080" t="s">
        <v>184</v>
      </c>
      <c r="C1080" t="s">
        <v>157</v>
      </c>
      <c r="D1080" t="s">
        <v>92</v>
      </c>
      <c r="F1080" s="24">
        <v>26000</v>
      </c>
      <c r="G1080" s="24"/>
      <c r="H1080" t="s">
        <v>737</v>
      </c>
      <c r="I1080" s="74">
        <f t="shared" si="16"/>
        <v>0</v>
      </c>
    </row>
    <row r="1081" spans="1:9" ht="15" customHeight="1" x14ac:dyDescent="0.25">
      <c r="A1081" s="57">
        <v>45964</v>
      </c>
      <c r="B1081" t="s">
        <v>184</v>
      </c>
      <c r="C1081" t="s">
        <v>158</v>
      </c>
      <c r="D1081" t="s">
        <v>89</v>
      </c>
      <c r="F1081" s="24"/>
      <c r="G1081" s="24">
        <v>26000</v>
      </c>
      <c r="H1081" t="s">
        <v>737</v>
      </c>
      <c r="I1081" s="74">
        <f t="shared" si="16"/>
        <v>0</v>
      </c>
    </row>
    <row r="1082" spans="1:9" ht="15" customHeight="1" x14ac:dyDescent="0.25">
      <c r="A1082" s="57">
        <v>45965</v>
      </c>
      <c r="B1082" t="s">
        <v>122</v>
      </c>
      <c r="C1082" t="s">
        <v>158</v>
      </c>
      <c r="D1082" t="s">
        <v>89</v>
      </c>
      <c r="F1082" s="24">
        <v>0</v>
      </c>
      <c r="G1082" s="24"/>
      <c r="H1082" t="s">
        <v>738</v>
      </c>
      <c r="I1082" s="74">
        <f t="shared" si="16"/>
        <v>0</v>
      </c>
    </row>
    <row r="1083" spans="1:9" ht="15" customHeight="1" x14ac:dyDescent="0.25">
      <c r="A1083" s="57">
        <v>45965</v>
      </c>
      <c r="B1083" t="s">
        <v>122</v>
      </c>
      <c r="C1083" t="s">
        <v>157</v>
      </c>
      <c r="D1083" t="s">
        <v>88</v>
      </c>
      <c r="E1083" t="s">
        <v>188</v>
      </c>
      <c r="F1083" s="24"/>
      <c r="G1083" s="24">
        <v>0</v>
      </c>
      <c r="H1083" t="s">
        <v>738</v>
      </c>
      <c r="I1083" s="74">
        <f t="shared" si="16"/>
        <v>0</v>
      </c>
    </row>
    <row r="1084" spans="1:9" ht="15" customHeight="1" x14ac:dyDescent="0.25">
      <c r="A1084" s="57">
        <v>45966</v>
      </c>
      <c r="B1084" t="s">
        <v>115</v>
      </c>
      <c r="C1084" t="s">
        <v>157</v>
      </c>
      <c r="D1084" t="s">
        <v>88</v>
      </c>
      <c r="E1084" t="s">
        <v>190</v>
      </c>
      <c r="F1084" s="24">
        <v>21000</v>
      </c>
      <c r="G1084" s="24"/>
      <c r="H1084" t="s">
        <v>739</v>
      </c>
      <c r="I1084" s="74">
        <f t="shared" si="16"/>
        <v>0</v>
      </c>
    </row>
    <row r="1085" spans="1:9" ht="15" customHeight="1" x14ac:dyDescent="0.25">
      <c r="A1085" s="57">
        <v>45966</v>
      </c>
      <c r="B1085" t="s">
        <v>115</v>
      </c>
      <c r="C1085" t="s">
        <v>60</v>
      </c>
      <c r="D1085" t="s">
        <v>63</v>
      </c>
      <c r="F1085" s="24"/>
      <c r="G1085" s="24">
        <v>21000</v>
      </c>
      <c r="H1085" t="s">
        <v>739</v>
      </c>
      <c r="I1085" s="74">
        <f t="shared" si="16"/>
        <v>0</v>
      </c>
    </row>
    <row r="1086" spans="1:9" ht="15" customHeight="1" x14ac:dyDescent="0.25">
      <c r="A1086" s="57">
        <v>45967</v>
      </c>
      <c r="B1086" t="s">
        <v>113</v>
      </c>
      <c r="C1086" t="s">
        <v>157</v>
      </c>
      <c r="D1086" t="s">
        <v>88</v>
      </c>
      <c r="E1086" t="s">
        <v>190</v>
      </c>
      <c r="F1086" s="24">
        <v>6000</v>
      </c>
      <c r="G1086" s="24"/>
      <c r="H1086" t="s">
        <v>740</v>
      </c>
      <c r="I1086" s="74">
        <f t="shared" si="16"/>
        <v>0</v>
      </c>
    </row>
    <row r="1087" spans="1:9" ht="15" customHeight="1" x14ac:dyDescent="0.25">
      <c r="A1087" s="57">
        <v>45967</v>
      </c>
      <c r="B1087" t="s">
        <v>113</v>
      </c>
      <c r="C1087" t="s">
        <v>60</v>
      </c>
      <c r="D1087" t="s">
        <v>61</v>
      </c>
      <c r="F1087" s="24"/>
      <c r="G1087" s="24">
        <v>6000</v>
      </c>
      <c r="H1087" t="s">
        <v>740</v>
      </c>
      <c r="I1087" s="74">
        <f t="shared" si="16"/>
        <v>0</v>
      </c>
    </row>
    <row r="1088" spans="1:9" ht="15" customHeight="1" x14ac:dyDescent="0.25">
      <c r="A1088" s="57">
        <v>45968</v>
      </c>
      <c r="B1088" t="s">
        <v>194</v>
      </c>
      <c r="C1088" t="s">
        <v>157</v>
      </c>
      <c r="D1088" t="s">
        <v>90</v>
      </c>
      <c r="F1088" s="24">
        <v>8000</v>
      </c>
      <c r="G1088" s="24"/>
      <c r="H1088" t="s">
        <v>741</v>
      </c>
      <c r="I1088" s="74">
        <f t="shared" si="16"/>
        <v>0</v>
      </c>
    </row>
    <row r="1089" spans="1:9" ht="15" customHeight="1" x14ac:dyDescent="0.25">
      <c r="A1089" s="57">
        <v>45968</v>
      </c>
      <c r="B1089" t="s">
        <v>194</v>
      </c>
      <c r="C1089" t="s">
        <v>60</v>
      </c>
      <c r="D1089" t="s">
        <v>64</v>
      </c>
      <c r="F1089" s="24"/>
      <c r="G1089" s="24">
        <v>8000</v>
      </c>
      <c r="H1089" t="s">
        <v>741</v>
      </c>
      <c r="I1089" s="74">
        <f t="shared" si="16"/>
        <v>0</v>
      </c>
    </row>
    <row r="1090" spans="1:9" ht="15" customHeight="1" x14ac:dyDescent="0.25">
      <c r="A1090" s="57">
        <v>45969</v>
      </c>
      <c r="B1090" t="s">
        <v>114</v>
      </c>
      <c r="C1090" t="s">
        <v>157</v>
      </c>
      <c r="D1090" t="s">
        <v>88</v>
      </c>
      <c r="E1090" t="s">
        <v>190</v>
      </c>
      <c r="F1090" s="24">
        <v>25000</v>
      </c>
      <c r="G1090" s="24"/>
      <c r="H1090" t="s">
        <v>742</v>
      </c>
      <c r="I1090" s="74">
        <f t="shared" ref="I1090:I1141" si="17">SUMIF($H:$H,H1090,$F:$F)-SUMIF($H:$H,H1090,$G:$G)</f>
        <v>0</v>
      </c>
    </row>
    <row r="1091" spans="1:9" ht="15" customHeight="1" x14ac:dyDescent="0.25">
      <c r="A1091" s="57">
        <v>45969</v>
      </c>
      <c r="B1091" t="s">
        <v>114</v>
      </c>
      <c r="C1091" t="s">
        <v>157</v>
      </c>
      <c r="D1091" t="s">
        <v>90</v>
      </c>
      <c r="F1091" s="24"/>
      <c r="G1091" s="24">
        <v>25000</v>
      </c>
      <c r="H1091" t="s">
        <v>742</v>
      </c>
      <c r="I1091" s="74">
        <f t="shared" si="17"/>
        <v>0</v>
      </c>
    </row>
    <row r="1092" spans="1:9" ht="15" customHeight="1" x14ac:dyDescent="0.25">
      <c r="A1092" s="57">
        <v>45970</v>
      </c>
      <c r="B1092" t="s">
        <v>118</v>
      </c>
      <c r="C1092" t="s">
        <v>160</v>
      </c>
      <c r="D1092" t="s">
        <v>77</v>
      </c>
      <c r="F1092" s="24">
        <v>3500</v>
      </c>
      <c r="G1092" s="24"/>
      <c r="H1092" t="s">
        <v>743</v>
      </c>
      <c r="I1092" s="74">
        <f t="shared" si="17"/>
        <v>0</v>
      </c>
    </row>
    <row r="1093" spans="1:9" ht="15" customHeight="1" x14ac:dyDescent="0.25">
      <c r="A1093" s="57">
        <v>45970</v>
      </c>
      <c r="B1093" t="s">
        <v>118</v>
      </c>
      <c r="C1093" t="s">
        <v>157</v>
      </c>
      <c r="D1093" t="s">
        <v>88</v>
      </c>
      <c r="E1093" t="s">
        <v>188</v>
      </c>
      <c r="F1093" s="24"/>
      <c r="G1093" s="24">
        <v>3500</v>
      </c>
      <c r="H1093" t="s">
        <v>743</v>
      </c>
      <c r="I1093" s="74">
        <f t="shared" si="17"/>
        <v>0</v>
      </c>
    </row>
    <row r="1094" spans="1:9" ht="15" customHeight="1" x14ac:dyDescent="0.25">
      <c r="A1094" s="57">
        <v>45971</v>
      </c>
      <c r="B1094" t="s">
        <v>119</v>
      </c>
      <c r="C1094" t="s">
        <v>160</v>
      </c>
      <c r="D1094" t="s">
        <v>72</v>
      </c>
      <c r="F1094" s="24">
        <v>6000</v>
      </c>
      <c r="G1094" s="24"/>
      <c r="H1094" t="s">
        <v>744</v>
      </c>
      <c r="I1094" s="74">
        <f t="shared" si="17"/>
        <v>0</v>
      </c>
    </row>
    <row r="1095" spans="1:9" ht="15" customHeight="1" x14ac:dyDescent="0.25">
      <c r="A1095" s="57">
        <v>45971</v>
      </c>
      <c r="B1095" t="s">
        <v>119</v>
      </c>
      <c r="C1095" t="s">
        <v>157</v>
      </c>
      <c r="D1095" t="s">
        <v>88</v>
      </c>
      <c r="E1095" t="s">
        <v>188</v>
      </c>
      <c r="F1095" s="24"/>
      <c r="G1095" s="24">
        <v>6000</v>
      </c>
      <c r="H1095" t="s">
        <v>744</v>
      </c>
      <c r="I1095" s="74">
        <f t="shared" si="17"/>
        <v>0</v>
      </c>
    </row>
    <row r="1096" spans="1:9" ht="15" customHeight="1" x14ac:dyDescent="0.25">
      <c r="A1096" s="57">
        <v>45972</v>
      </c>
      <c r="B1096" t="s">
        <v>120</v>
      </c>
      <c r="C1096" t="s">
        <v>160</v>
      </c>
      <c r="D1096" t="s">
        <v>81</v>
      </c>
      <c r="F1096" s="24">
        <v>2000</v>
      </c>
      <c r="G1096" s="24"/>
      <c r="H1096" t="s">
        <v>745</v>
      </c>
      <c r="I1096" s="74">
        <f t="shared" si="17"/>
        <v>0</v>
      </c>
    </row>
    <row r="1097" spans="1:9" ht="15" customHeight="1" x14ac:dyDescent="0.25">
      <c r="A1097" s="57">
        <v>45972</v>
      </c>
      <c r="B1097" t="s">
        <v>120</v>
      </c>
      <c r="C1097" t="s">
        <v>157</v>
      </c>
      <c r="D1097" t="s">
        <v>88</v>
      </c>
      <c r="E1097" t="s">
        <v>188</v>
      </c>
      <c r="F1097" s="24"/>
      <c r="G1097" s="24">
        <v>2000</v>
      </c>
      <c r="H1097" t="s">
        <v>745</v>
      </c>
      <c r="I1097" s="74">
        <f t="shared" si="17"/>
        <v>0</v>
      </c>
    </row>
    <row r="1098" spans="1:9" ht="15" customHeight="1" x14ac:dyDescent="0.25">
      <c r="A1098" s="57">
        <v>45973</v>
      </c>
      <c r="B1098" t="s">
        <v>121</v>
      </c>
      <c r="C1098" t="s">
        <v>160</v>
      </c>
      <c r="D1098" t="s">
        <v>71</v>
      </c>
      <c r="F1098" s="24">
        <v>500</v>
      </c>
      <c r="G1098" s="24"/>
      <c r="H1098" t="s">
        <v>746</v>
      </c>
      <c r="I1098" s="74">
        <f t="shared" si="17"/>
        <v>0</v>
      </c>
    </row>
    <row r="1099" spans="1:9" ht="15" customHeight="1" x14ac:dyDescent="0.25">
      <c r="A1099" s="57">
        <v>45973</v>
      </c>
      <c r="B1099" t="s">
        <v>121</v>
      </c>
      <c r="C1099" t="s">
        <v>157</v>
      </c>
      <c r="D1099" t="s">
        <v>88</v>
      </c>
      <c r="E1099" t="s">
        <v>188</v>
      </c>
      <c r="F1099" s="24"/>
      <c r="G1099" s="24">
        <v>500</v>
      </c>
      <c r="H1099" t="s">
        <v>746</v>
      </c>
      <c r="I1099" s="74">
        <f t="shared" si="17"/>
        <v>0</v>
      </c>
    </row>
    <row r="1100" spans="1:9" ht="15" customHeight="1" x14ac:dyDescent="0.25">
      <c r="A1100" s="57">
        <v>45974</v>
      </c>
      <c r="B1100" t="s">
        <v>124</v>
      </c>
      <c r="C1100" t="s">
        <v>160</v>
      </c>
      <c r="D1100" t="s">
        <v>74</v>
      </c>
      <c r="F1100" s="24">
        <v>2000</v>
      </c>
      <c r="G1100" s="24"/>
      <c r="H1100" t="s">
        <v>747</v>
      </c>
      <c r="I1100" s="74">
        <f t="shared" si="17"/>
        <v>0</v>
      </c>
    </row>
    <row r="1101" spans="1:9" ht="15" customHeight="1" x14ac:dyDescent="0.25">
      <c r="A1101" s="57">
        <v>45974</v>
      </c>
      <c r="B1101" t="s">
        <v>124</v>
      </c>
      <c r="C1101" t="s">
        <v>157</v>
      </c>
      <c r="D1101" t="s">
        <v>88</v>
      </c>
      <c r="E1101" t="s">
        <v>188</v>
      </c>
      <c r="F1101" s="24"/>
      <c r="G1101" s="24">
        <v>2000</v>
      </c>
      <c r="H1101" t="s">
        <v>747</v>
      </c>
      <c r="I1101" s="74">
        <f t="shared" si="17"/>
        <v>0</v>
      </c>
    </row>
    <row r="1102" spans="1:9" ht="15" customHeight="1" x14ac:dyDescent="0.25">
      <c r="A1102" s="57">
        <v>45975</v>
      </c>
      <c r="B1102" t="s">
        <v>128</v>
      </c>
      <c r="C1102" t="s">
        <v>160</v>
      </c>
      <c r="D1102" t="s">
        <v>75</v>
      </c>
      <c r="F1102" s="24">
        <v>500</v>
      </c>
      <c r="G1102" s="24"/>
      <c r="H1102" t="s">
        <v>748</v>
      </c>
      <c r="I1102" s="74">
        <f t="shared" si="17"/>
        <v>0</v>
      </c>
    </row>
    <row r="1103" spans="1:9" ht="15" customHeight="1" x14ac:dyDescent="0.25">
      <c r="A1103" s="57">
        <v>45975</v>
      </c>
      <c r="B1103" t="s">
        <v>128</v>
      </c>
      <c r="C1103" t="s">
        <v>157</v>
      </c>
      <c r="D1103" t="s">
        <v>88</v>
      </c>
      <c r="E1103" t="s">
        <v>188</v>
      </c>
      <c r="F1103" s="24"/>
      <c r="G1103" s="24">
        <v>500</v>
      </c>
      <c r="H1103" t="s">
        <v>748</v>
      </c>
      <c r="I1103" s="74">
        <f t="shared" si="17"/>
        <v>0</v>
      </c>
    </row>
    <row r="1104" spans="1:9" ht="15" customHeight="1" x14ac:dyDescent="0.25">
      <c r="A1104" s="57">
        <v>45987</v>
      </c>
      <c r="B1104" t="s">
        <v>204</v>
      </c>
      <c r="C1104" t="s">
        <v>160</v>
      </c>
      <c r="D1104" t="s">
        <v>67</v>
      </c>
      <c r="F1104" s="24">
        <v>22000</v>
      </c>
      <c r="G1104" s="24"/>
      <c r="H1104" t="s">
        <v>749</v>
      </c>
      <c r="I1104" s="74">
        <f t="shared" si="17"/>
        <v>0</v>
      </c>
    </row>
    <row r="1105" spans="1:9" ht="15" customHeight="1" x14ac:dyDescent="0.25">
      <c r="A1105" s="57">
        <v>45987</v>
      </c>
      <c r="B1105" t="s">
        <v>204</v>
      </c>
      <c r="C1105" t="s">
        <v>157</v>
      </c>
      <c r="D1105" t="s">
        <v>92</v>
      </c>
      <c r="F1105" s="24"/>
      <c r="G1105" s="24">
        <v>22000</v>
      </c>
      <c r="H1105" t="s">
        <v>749</v>
      </c>
      <c r="I1105" s="74">
        <f t="shared" si="17"/>
        <v>0</v>
      </c>
    </row>
    <row r="1106" spans="1:9" ht="15" customHeight="1" x14ac:dyDescent="0.25">
      <c r="A1106" s="57">
        <v>45988</v>
      </c>
      <c r="B1106" t="s">
        <v>207</v>
      </c>
      <c r="C1106" t="s">
        <v>160</v>
      </c>
      <c r="D1106" t="s">
        <v>73</v>
      </c>
      <c r="F1106" s="24">
        <v>800</v>
      </c>
      <c r="G1106" s="24"/>
      <c r="H1106" t="s">
        <v>750</v>
      </c>
      <c r="I1106" s="74">
        <f t="shared" si="17"/>
        <v>0</v>
      </c>
    </row>
    <row r="1107" spans="1:9" ht="15" customHeight="1" x14ac:dyDescent="0.25">
      <c r="A1107" s="57">
        <v>45988</v>
      </c>
      <c r="B1107" t="s">
        <v>207</v>
      </c>
      <c r="C1107" t="s">
        <v>157</v>
      </c>
      <c r="D1107" t="s">
        <v>100</v>
      </c>
      <c r="F1107" s="24"/>
      <c r="G1107" s="24">
        <v>800</v>
      </c>
      <c r="H1107" t="s">
        <v>750</v>
      </c>
      <c r="I1107" s="74">
        <f t="shared" si="17"/>
        <v>0</v>
      </c>
    </row>
    <row r="1108" spans="1:9" ht="15" customHeight="1" x14ac:dyDescent="0.25">
      <c r="A1108" s="57">
        <v>45993</v>
      </c>
      <c r="B1108" t="s">
        <v>181</v>
      </c>
      <c r="C1108" t="s">
        <v>157</v>
      </c>
      <c r="D1108" t="s">
        <v>90</v>
      </c>
      <c r="F1108" s="24">
        <v>30000</v>
      </c>
      <c r="G1108" s="24"/>
      <c r="H1108" t="s">
        <v>751</v>
      </c>
      <c r="I1108" s="74">
        <f t="shared" si="17"/>
        <v>0</v>
      </c>
    </row>
    <row r="1109" spans="1:9" ht="15" customHeight="1" x14ac:dyDescent="0.25">
      <c r="A1109" s="57">
        <v>45993</v>
      </c>
      <c r="B1109" t="s">
        <v>181</v>
      </c>
      <c r="C1109" t="s">
        <v>60</v>
      </c>
      <c r="D1109" t="s">
        <v>63</v>
      </c>
      <c r="F1109" s="24"/>
      <c r="G1109" s="24">
        <v>30000</v>
      </c>
      <c r="H1109" t="s">
        <v>751</v>
      </c>
      <c r="I1109" s="74">
        <f t="shared" si="17"/>
        <v>0</v>
      </c>
    </row>
    <row r="1110" spans="1:9" ht="15" customHeight="1" x14ac:dyDescent="0.25">
      <c r="A1110" s="57">
        <v>45994</v>
      </c>
      <c r="B1110" t="s">
        <v>184</v>
      </c>
      <c r="C1110" t="s">
        <v>157</v>
      </c>
      <c r="D1110" t="s">
        <v>92</v>
      </c>
      <c r="F1110" s="24">
        <v>24500</v>
      </c>
      <c r="G1110" s="24"/>
      <c r="H1110" t="s">
        <v>752</v>
      </c>
      <c r="I1110" s="74">
        <f t="shared" si="17"/>
        <v>0</v>
      </c>
    </row>
    <row r="1111" spans="1:9" ht="15" customHeight="1" x14ac:dyDescent="0.25">
      <c r="A1111" s="57">
        <v>45994</v>
      </c>
      <c r="B1111" t="s">
        <v>184</v>
      </c>
      <c r="C1111" t="s">
        <v>158</v>
      </c>
      <c r="D1111" t="s">
        <v>89</v>
      </c>
      <c r="F1111" s="24"/>
      <c r="G1111" s="24">
        <v>24500</v>
      </c>
      <c r="H1111" t="s">
        <v>752</v>
      </c>
      <c r="I1111" s="74">
        <f t="shared" si="17"/>
        <v>0</v>
      </c>
    </row>
    <row r="1112" spans="1:9" ht="15" customHeight="1" x14ac:dyDescent="0.25">
      <c r="A1112" s="57">
        <v>45995</v>
      </c>
      <c r="B1112" t="s">
        <v>122</v>
      </c>
      <c r="C1112" t="s">
        <v>158</v>
      </c>
      <c r="D1112" t="s">
        <v>89</v>
      </c>
      <c r="F1112" s="24">
        <v>0</v>
      </c>
      <c r="G1112" s="24"/>
      <c r="H1112" t="s">
        <v>753</v>
      </c>
      <c r="I1112" s="74">
        <f t="shared" si="17"/>
        <v>0</v>
      </c>
    </row>
    <row r="1113" spans="1:9" ht="15" customHeight="1" x14ac:dyDescent="0.25">
      <c r="A1113" s="57">
        <v>45995</v>
      </c>
      <c r="B1113" t="s">
        <v>122</v>
      </c>
      <c r="C1113" t="s">
        <v>157</v>
      </c>
      <c r="D1113" t="s">
        <v>88</v>
      </c>
      <c r="E1113" t="s">
        <v>188</v>
      </c>
      <c r="F1113" s="24"/>
      <c r="G1113" s="24">
        <v>0</v>
      </c>
      <c r="H1113" t="s">
        <v>753</v>
      </c>
      <c r="I1113" s="74">
        <f t="shared" si="17"/>
        <v>0</v>
      </c>
    </row>
    <row r="1114" spans="1:9" ht="15" customHeight="1" x14ac:dyDescent="0.25">
      <c r="A1114" s="57">
        <v>45996</v>
      </c>
      <c r="B1114" t="s">
        <v>115</v>
      </c>
      <c r="C1114" t="s">
        <v>157</v>
      </c>
      <c r="D1114" t="s">
        <v>88</v>
      </c>
      <c r="E1114" t="s">
        <v>190</v>
      </c>
      <c r="F1114" s="24">
        <v>12000</v>
      </c>
      <c r="G1114" s="24"/>
      <c r="H1114" t="s">
        <v>754</v>
      </c>
      <c r="I1114" s="74">
        <f t="shared" si="17"/>
        <v>0</v>
      </c>
    </row>
    <row r="1115" spans="1:9" ht="15" customHeight="1" x14ac:dyDescent="0.25">
      <c r="A1115" s="57">
        <v>45996</v>
      </c>
      <c r="B1115" t="s">
        <v>115</v>
      </c>
      <c r="C1115" t="s">
        <v>60</v>
      </c>
      <c r="D1115" t="s">
        <v>63</v>
      </c>
      <c r="F1115" s="24"/>
      <c r="G1115" s="24">
        <v>12000</v>
      </c>
      <c r="H1115" t="s">
        <v>754</v>
      </c>
      <c r="I1115" s="74">
        <f t="shared" si="17"/>
        <v>0</v>
      </c>
    </row>
    <row r="1116" spans="1:9" ht="15" customHeight="1" x14ac:dyDescent="0.25">
      <c r="A1116" s="57">
        <v>45997</v>
      </c>
      <c r="B1116" t="s">
        <v>113</v>
      </c>
      <c r="C1116" t="s">
        <v>157</v>
      </c>
      <c r="D1116" t="s">
        <v>88</v>
      </c>
      <c r="E1116" t="s">
        <v>190</v>
      </c>
      <c r="F1116" s="24">
        <v>5000</v>
      </c>
      <c r="G1116" s="24"/>
      <c r="H1116" t="s">
        <v>755</v>
      </c>
      <c r="I1116" s="74">
        <f t="shared" si="17"/>
        <v>0</v>
      </c>
    </row>
    <row r="1117" spans="1:9" ht="15" customHeight="1" x14ac:dyDescent="0.25">
      <c r="A1117" s="57">
        <v>45997</v>
      </c>
      <c r="B1117" t="s">
        <v>113</v>
      </c>
      <c r="C1117" t="s">
        <v>60</v>
      </c>
      <c r="D1117" t="s">
        <v>61</v>
      </c>
      <c r="F1117" s="24"/>
      <c r="G1117" s="24">
        <v>5000</v>
      </c>
      <c r="H1117" t="s">
        <v>755</v>
      </c>
      <c r="I1117" s="74">
        <f t="shared" si="17"/>
        <v>0</v>
      </c>
    </row>
    <row r="1118" spans="1:9" ht="15" customHeight="1" x14ac:dyDescent="0.25">
      <c r="A1118" s="57">
        <v>45998</v>
      </c>
      <c r="B1118" t="s">
        <v>194</v>
      </c>
      <c r="C1118" t="s">
        <v>157</v>
      </c>
      <c r="D1118" t="s">
        <v>90</v>
      </c>
      <c r="F1118" s="24">
        <v>11000</v>
      </c>
      <c r="G1118" s="24"/>
      <c r="H1118" t="s">
        <v>756</v>
      </c>
      <c r="I1118" s="74">
        <f t="shared" si="17"/>
        <v>0</v>
      </c>
    </row>
    <row r="1119" spans="1:9" ht="15" customHeight="1" x14ac:dyDescent="0.25">
      <c r="A1119" s="57">
        <v>45998</v>
      </c>
      <c r="B1119" t="s">
        <v>194</v>
      </c>
      <c r="C1119" t="s">
        <v>60</v>
      </c>
      <c r="D1119" t="s">
        <v>64</v>
      </c>
      <c r="F1119" s="24"/>
      <c r="G1119" s="24">
        <v>11000</v>
      </c>
      <c r="H1119" t="s">
        <v>756</v>
      </c>
      <c r="I1119" s="74">
        <f t="shared" si="17"/>
        <v>0</v>
      </c>
    </row>
    <row r="1120" spans="1:9" ht="15" customHeight="1" x14ac:dyDescent="0.25">
      <c r="A1120" s="57">
        <v>45999</v>
      </c>
      <c r="B1120" t="s">
        <v>114</v>
      </c>
      <c r="C1120" t="s">
        <v>157</v>
      </c>
      <c r="D1120" t="s">
        <v>88</v>
      </c>
      <c r="E1120" t="s">
        <v>190</v>
      </c>
      <c r="F1120" s="24">
        <v>20000</v>
      </c>
      <c r="G1120" s="24"/>
      <c r="H1120" t="s">
        <v>757</v>
      </c>
      <c r="I1120" s="74">
        <f t="shared" si="17"/>
        <v>0</v>
      </c>
    </row>
    <row r="1121" spans="1:9" ht="15" customHeight="1" x14ac:dyDescent="0.25">
      <c r="A1121" s="57">
        <v>45999</v>
      </c>
      <c r="B1121" t="s">
        <v>114</v>
      </c>
      <c r="C1121" t="s">
        <v>157</v>
      </c>
      <c r="D1121" t="s">
        <v>90</v>
      </c>
      <c r="F1121" s="24"/>
      <c r="G1121" s="24">
        <v>20000</v>
      </c>
      <c r="H1121" t="s">
        <v>757</v>
      </c>
      <c r="I1121" s="74">
        <f t="shared" si="17"/>
        <v>0</v>
      </c>
    </row>
    <row r="1122" spans="1:9" ht="15" customHeight="1" x14ac:dyDescent="0.25">
      <c r="A1122" s="57">
        <v>46000</v>
      </c>
      <c r="B1122" t="s">
        <v>118</v>
      </c>
      <c r="C1122" t="s">
        <v>160</v>
      </c>
      <c r="D1122" t="s">
        <v>77</v>
      </c>
      <c r="F1122" s="24">
        <v>5000</v>
      </c>
      <c r="G1122" s="24"/>
      <c r="H1122" t="s">
        <v>758</v>
      </c>
      <c r="I1122" s="74">
        <f t="shared" si="17"/>
        <v>0</v>
      </c>
    </row>
    <row r="1123" spans="1:9" ht="15" customHeight="1" x14ac:dyDescent="0.25">
      <c r="A1123" s="57">
        <v>46000</v>
      </c>
      <c r="B1123" t="s">
        <v>118</v>
      </c>
      <c r="C1123" t="s">
        <v>157</v>
      </c>
      <c r="D1123" t="s">
        <v>88</v>
      </c>
      <c r="E1123" t="s">
        <v>188</v>
      </c>
      <c r="F1123" s="24"/>
      <c r="G1123" s="24">
        <v>5000</v>
      </c>
      <c r="H1123" t="s">
        <v>758</v>
      </c>
      <c r="I1123" s="74">
        <f t="shared" si="17"/>
        <v>0</v>
      </c>
    </row>
    <row r="1124" spans="1:9" ht="15" customHeight="1" x14ac:dyDescent="0.25">
      <c r="A1124" s="57">
        <v>46001</v>
      </c>
      <c r="B1124" t="s">
        <v>119</v>
      </c>
      <c r="C1124" t="s">
        <v>160</v>
      </c>
      <c r="D1124" t="s">
        <v>72</v>
      </c>
      <c r="F1124" s="24">
        <v>6000</v>
      </c>
      <c r="G1124" s="24"/>
      <c r="H1124" t="s">
        <v>759</v>
      </c>
      <c r="I1124" s="74">
        <f t="shared" si="17"/>
        <v>0</v>
      </c>
    </row>
    <row r="1125" spans="1:9" ht="15" customHeight="1" x14ac:dyDescent="0.25">
      <c r="A1125" s="57">
        <v>46001</v>
      </c>
      <c r="B1125" t="s">
        <v>119</v>
      </c>
      <c r="C1125" t="s">
        <v>157</v>
      </c>
      <c r="D1125" t="s">
        <v>88</v>
      </c>
      <c r="E1125" t="s">
        <v>188</v>
      </c>
      <c r="F1125" s="24"/>
      <c r="G1125" s="24">
        <v>6000</v>
      </c>
      <c r="H1125" t="s">
        <v>759</v>
      </c>
      <c r="I1125" s="74">
        <f t="shared" si="17"/>
        <v>0</v>
      </c>
    </row>
    <row r="1126" spans="1:9" ht="15" customHeight="1" x14ac:dyDescent="0.25">
      <c r="A1126" s="57">
        <v>46002</v>
      </c>
      <c r="B1126" t="s">
        <v>120</v>
      </c>
      <c r="C1126" t="s">
        <v>160</v>
      </c>
      <c r="D1126" t="s">
        <v>81</v>
      </c>
      <c r="F1126" s="24">
        <v>1000</v>
      </c>
      <c r="G1126" s="24"/>
      <c r="H1126" t="s">
        <v>760</v>
      </c>
      <c r="I1126" s="74">
        <f t="shared" si="17"/>
        <v>0</v>
      </c>
    </row>
    <row r="1127" spans="1:9" ht="15" customHeight="1" x14ac:dyDescent="0.25">
      <c r="A1127" s="57">
        <v>46002</v>
      </c>
      <c r="B1127" t="s">
        <v>120</v>
      </c>
      <c r="C1127" t="s">
        <v>157</v>
      </c>
      <c r="D1127" t="s">
        <v>88</v>
      </c>
      <c r="E1127" t="s">
        <v>188</v>
      </c>
      <c r="F1127" s="24"/>
      <c r="G1127" s="24">
        <v>1000</v>
      </c>
      <c r="H1127" t="s">
        <v>760</v>
      </c>
      <c r="I1127" s="74">
        <f t="shared" si="17"/>
        <v>0</v>
      </c>
    </row>
    <row r="1128" spans="1:9" ht="15" customHeight="1" x14ac:dyDescent="0.25">
      <c r="A1128" s="57">
        <v>46003</v>
      </c>
      <c r="B1128" t="s">
        <v>121</v>
      </c>
      <c r="C1128" t="s">
        <v>160</v>
      </c>
      <c r="D1128" t="s">
        <v>71</v>
      </c>
      <c r="F1128" s="24">
        <v>2000</v>
      </c>
      <c r="G1128" s="24"/>
      <c r="H1128" t="s">
        <v>761</v>
      </c>
      <c r="I1128" s="74">
        <f t="shared" si="17"/>
        <v>0</v>
      </c>
    </row>
    <row r="1129" spans="1:9" ht="15" customHeight="1" x14ac:dyDescent="0.25">
      <c r="A1129" s="57">
        <v>46003</v>
      </c>
      <c r="B1129" t="s">
        <v>121</v>
      </c>
      <c r="C1129" t="s">
        <v>157</v>
      </c>
      <c r="D1129" t="s">
        <v>88</v>
      </c>
      <c r="E1129" t="s">
        <v>188</v>
      </c>
      <c r="F1129" s="24"/>
      <c r="G1129" s="24">
        <v>2000</v>
      </c>
      <c r="H1129" t="s">
        <v>761</v>
      </c>
      <c r="I1129" s="74">
        <f t="shared" si="17"/>
        <v>0</v>
      </c>
    </row>
    <row r="1130" spans="1:9" ht="15" customHeight="1" x14ac:dyDescent="0.25">
      <c r="A1130" s="57">
        <v>46004</v>
      </c>
      <c r="B1130" t="s">
        <v>125</v>
      </c>
      <c r="C1130" t="s">
        <v>160</v>
      </c>
      <c r="D1130" t="s">
        <v>76</v>
      </c>
      <c r="F1130" s="24">
        <v>700</v>
      </c>
      <c r="G1130" s="24"/>
      <c r="H1130" t="s">
        <v>762</v>
      </c>
      <c r="I1130" s="74">
        <f t="shared" si="17"/>
        <v>0</v>
      </c>
    </row>
    <row r="1131" spans="1:9" ht="15" customHeight="1" x14ac:dyDescent="0.25">
      <c r="A1131" s="57">
        <v>46004</v>
      </c>
      <c r="B1131" t="s">
        <v>125</v>
      </c>
      <c r="C1131" t="s">
        <v>157</v>
      </c>
      <c r="D1131" t="s">
        <v>88</v>
      </c>
      <c r="E1131" t="s">
        <v>188</v>
      </c>
      <c r="F1131" s="24"/>
      <c r="G1131" s="24">
        <v>700</v>
      </c>
      <c r="H1131" t="s">
        <v>762</v>
      </c>
      <c r="I1131" s="74">
        <f t="shared" si="17"/>
        <v>0</v>
      </c>
    </row>
    <row r="1132" spans="1:9" ht="15" customHeight="1" x14ac:dyDescent="0.25">
      <c r="A1132" s="57">
        <v>46005</v>
      </c>
      <c r="B1132" t="s">
        <v>128</v>
      </c>
      <c r="C1132" t="s">
        <v>160</v>
      </c>
      <c r="D1132" t="s">
        <v>75</v>
      </c>
      <c r="F1132" s="24">
        <v>1500</v>
      </c>
      <c r="G1132" s="24"/>
      <c r="H1132" t="s">
        <v>763</v>
      </c>
      <c r="I1132" s="74">
        <f t="shared" si="17"/>
        <v>0</v>
      </c>
    </row>
    <row r="1133" spans="1:9" ht="15" customHeight="1" x14ac:dyDescent="0.25">
      <c r="A1133" s="57">
        <v>46005</v>
      </c>
      <c r="B1133" t="s">
        <v>128</v>
      </c>
      <c r="C1133" t="s">
        <v>157</v>
      </c>
      <c r="D1133" t="s">
        <v>88</v>
      </c>
      <c r="E1133" t="s">
        <v>188</v>
      </c>
      <c r="F1133" s="24"/>
      <c r="G1133" s="24">
        <v>1500</v>
      </c>
      <c r="H1133" t="s">
        <v>763</v>
      </c>
      <c r="I1133" s="74">
        <f t="shared" si="17"/>
        <v>0</v>
      </c>
    </row>
    <row r="1134" spans="1:9" ht="15" customHeight="1" x14ac:dyDescent="0.25">
      <c r="A1134" s="57">
        <v>46007</v>
      </c>
      <c r="B1134" t="s">
        <v>136</v>
      </c>
      <c r="C1134" t="s">
        <v>157</v>
      </c>
      <c r="D1134" t="s">
        <v>98</v>
      </c>
      <c r="F1134" s="24">
        <v>2000</v>
      </c>
      <c r="G1134" s="24"/>
      <c r="H1134" t="s">
        <v>764</v>
      </c>
      <c r="I1134" s="74">
        <f t="shared" si="17"/>
        <v>0</v>
      </c>
    </row>
    <row r="1135" spans="1:9" ht="15" customHeight="1" x14ac:dyDescent="0.25">
      <c r="A1135" s="57">
        <v>46007</v>
      </c>
      <c r="B1135" t="s">
        <v>136</v>
      </c>
      <c r="C1135" t="s">
        <v>157</v>
      </c>
      <c r="D1135" t="s">
        <v>88</v>
      </c>
      <c r="E1135" t="s">
        <v>242</v>
      </c>
      <c r="F1135" s="24"/>
      <c r="G1135" s="24">
        <v>2000</v>
      </c>
      <c r="H1135" t="s">
        <v>764</v>
      </c>
      <c r="I1135" s="74">
        <f t="shared" si="17"/>
        <v>0</v>
      </c>
    </row>
    <row r="1136" spans="1:9" ht="15" customHeight="1" x14ac:dyDescent="0.25">
      <c r="A1136" s="57">
        <v>46009</v>
      </c>
      <c r="B1136" t="s">
        <v>133</v>
      </c>
      <c r="C1136" t="s">
        <v>157</v>
      </c>
      <c r="D1136" t="s">
        <v>88</v>
      </c>
      <c r="E1136" t="s">
        <v>243</v>
      </c>
      <c r="F1136" s="24">
        <v>1000</v>
      </c>
      <c r="G1136" s="24"/>
      <c r="H1136" t="s">
        <v>765</v>
      </c>
      <c r="I1136" s="74">
        <f t="shared" si="17"/>
        <v>0</v>
      </c>
    </row>
    <row r="1137" spans="1:9" ht="15" customHeight="1" x14ac:dyDescent="0.25">
      <c r="A1137" s="57">
        <v>46009</v>
      </c>
      <c r="B1137" t="s">
        <v>133</v>
      </c>
      <c r="C1137" t="s">
        <v>60</v>
      </c>
      <c r="D1137" t="s">
        <v>62</v>
      </c>
      <c r="F1137" s="24"/>
      <c r="G1137" s="24">
        <v>1000</v>
      </c>
      <c r="H1137" t="s">
        <v>765</v>
      </c>
      <c r="I1137" s="74">
        <f t="shared" si="17"/>
        <v>0</v>
      </c>
    </row>
    <row r="1138" spans="1:9" ht="15" customHeight="1" x14ac:dyDescent="0.25">
      <c r="A1138" s="57">
        <v>46021</v>
      </c>
      <c r="B1138" t="s">
        <v>204</v>
      </c>
      <c r="C1138" t="s">
        <v>160</v>
      </c>
      <c r="D1138" t="s">
        <v>67</v>
      </c>
      <c r="F1138" s="24">
        <v>18500</v>
      </c>
      <c r="G1138" s="24"/>
      <c r="H1138" t="s">
        <v>766</v>
      </c>
      <c r="I1138" s="74">
        <f t="shared" si="17"/>
        <v>0</v>
      </c>
    </row>
    <row r="1139" spans="1:9" ht="15" customHeight="1" x14ac:dyDescent="0.25">
      <c r="A1139" s="57">
        <v>46021</v>
      </c>
      <c r="B1139" t="s">
        <v>204</v>
      </c>
      <c r="C1139" t="s">
        <v>157</v>
      </c>
      <c r="D1139" t="s">
        <v>92</v>
      </c>
      <c r="F1139" s="24"/>
      <c r="G1139" s="24">
        <v>18500</v>
      </c>
      <c r="H1139" t="s">
        <v>766</v>
      </c>
      <c r="I1139" s="74">
        <f t="shared" si="17"/>
        <v>0</v>
      </c>
    </row>
    <row r="1140" spans="1:9" ht="15" customHeight="1" x14ac:dyDescent="0.25">
      <c r="A1140" s="57">
        <v>46022</v>
      </c>
      <c r="B1140" t="s">
        <v>207</v>
      </c>
      <c r="C1140" t="s">
        <v>160</v>
      </c>
      <c r="D1140" t="s">
        <v>73</v>
      </c>
      <c r="F1140" s="24">
        <v>1100</v>
      </c>
      <c r="G1140" s="24"/>
      <c r="H1140" t="s">
        <v>767</v>
      </c>
      <c r="I1140" s="74">
        <f t="shared" si="17"/>
        <v>0</v>
      </c>
    </row>
    <row r="1141" spans="1:9" ht="15" customHeight="1" x14ac:dyDescent="0.25">
      <c r="A1141" s="57">
        <v>46022</v>
      </c>
      <c r="B1141" t="s">
        <v>207</v>
      </c>
      <c r="C1141" t="s">
        <v>157</v>
      </c>
      <c r="D1141" t="s">
        <v>100</v>
      </c>
      <c r="F1141" s="24"/>
      <c r="G1141" s="24">
        <v>1100</v>
      </c>
      <c r="H1141" t="s">
        <v>767</v>
      </c>
      <c r="I1141" s="74">
        <f t="shared" si="17"/>
        <v>0</v>
      </c>
    </row>
  </sheetData>
  <autoFilter ref="A1:I1141" xr:uid="{00000000-0009-0000-0000-000004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Read Me</vt:lpstr>
      <vt:lpstr>QA Checks</vt:lpstr>
      <vt:lpstr>Dashboard</vt:lpstr>
      <vt:lpstr>w</vt:lpstr>
      <vt:lpstr>Data</vt:lpstr>
      <vt:lpstr>Acc</vt:lpstr>
      <vt:lpstr>End_Date</vt:lpstr>
      <vt:lpstr>Start_Date</vt:lpstr>
      <vt:lpstr>Year_Slected</vt:lpstr>
      <vt:lpstr>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 frimpong</cp:lastModifiedBy>
  <cp:lastPrinted>2026-10-27T09:27:04Z</cp:lastPrinted>
  <dcterms:created xsi:type="dcterms:W3CDTF">2026-10-26T14:16:56Z</dcterms:created>
  <dcterms:modified xsi:type="dcterms:W3CDTF">2026-10-27T10:46:39Z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2026-09-26T22:08:56Z</dcterms:created>
  <dc:creator>user</dc:creator>
  <dc:description/>
  <dc:language>en-US</dc:language>
  <cp:lastModifiedBy>michael frimpong</cp:lastModifiedBy>
  <cp:lastPrinted>2026-10-26T10:24:30Z</cp:lastPrinted>
  <dcterms:modified xsi:type="dcterms:W3CDTF">2026-10-26T12:36:53Z</dcterms:modified>
  <cp:revision>0</cp:revision>
  <dc:subject/>
  <dc:title/>
</cp:coreProperties>
</file>